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filterPrivacy="1" defaultThemeVersion="166925"/>
  <xr:revisionPtr revIDLastSave="0" documentId="13_ncr:1_{50232A1E-0646-4112-A908-FCD80E30075D}" xr6:coauthVersionLast="47" xr6:coauthVersionMax="47" xr10:uidLastSave="{00000000-0000-0000-0000-000000000000}"/>
  <bookViews>
    <workbookView xWindow="38280" yWindow="-120" windowWidth="30960" windowHeight="17520" xr2:uid="{00000000-000D-0000-FFFF-FFFF00000000}"/>
  </bookViews>
  <sheets>
    <sheet name="safesec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N5" i="1"/>
  <c r="N3" i="1"/>
  <c r="M3" i="1"/>
  <c r="L5" i="1"/>
  <c r="L6" i="1" s="1"/>
  <c r="L3" i="1"/>
  <c r="L4" i="1" s="1"/>
  <c r="K5" i="1"/>
  <c r="K3" i="1"/>
  <c r="J5" i="1"/>
  <c r="J3" i="1"/>
  <c r="I5" i="1"/>
  <c r="I3" i="1"/>
  <c r="H5" i="1"/>
  <c r="H3" i="1"/>
  <c r="G5" i="1"/>
  <c r="G3" i="1"/>
  <c r="G4" i="1" s="1"/>
  <c r="F5" i="1"/>
  <c r="F3" i="1"/>
  <c r="E5" i="1"/>
  <c r="E3" i="1"/>
  <c r="D5" i="1"/>
  <c r="D3" i="1"/>
  <c r="C5" i="1"/>
  <c r="C3" i="1"/>
  <c r="B5" i="1"/>
  <c r="E6" i="1" s="1"/>
  <c r="B3" i="1"/>
  <c r="N4" i="1" l="1"/>
  <c r="N6" i="1"/>
  <c r="K4" i="1"/>
  <c r="O4" i="1" s="1"/>
  <c r="G6" i="1"/>
  <c r="O3" i="1"/>
  <c r="K6" i="1"/>
  <c r="E4" i="1"/>
  <c r="O5" i="1"/>
  <c r="O6" i="1" l="1"/>
</calcChain>
</file>

<file path=xl/sharedStrings.xml><?xml version="1.0" encoding="utf-8"?>
<sst xmlns="http://schemas.openxmlformats.org/spreadsheetml/2006/main" count="32" uniqueCount="32">
  <si>
    <t>stage 2</t>
  </si>
  <si>
    <t>stage 4</t>
  </si>
  <si>
    <t>stage 8</t>
  </si>
  <si>
    <t>stage 16</t>
  </si>
  <si>
    <t>stage 32</t>
  </si>
  <si>
    <t>stage 64</t>
  </si>
  <si>
    <t>stage 128</t>
  </si>
  <si>
    <t>stage 256</t>
  </si>
  <si>
    <t>stage 512</t>
  </si>
  <si>
    <t>stage 1024</t>
  </si>
  <si>
    <t>stage 2048</t>
  </si>
  <si>
    <t>stage 4096</t>
  </si>
  <si>
    <t>stage 8192</t>
  </si>
  <si>
    <t>Fetch Model</t>
  </si>
  <si>
    <t>Combine Dataflows</t>
  </si>
  <si>
    <t>Cleanup Dataflow</t>
  </si>
  <si>
    <t>Create Initial Deployment</t>
  </si>
  <si>
    <t>Enhance Deployment</t>
  </si>
  <si>
    <t>Extract Package Files</t>
  </si>
  <si>
    <t>Create Input for ATG</t>
  </si>
  <si>
    <t>Attack Gen CPEs</t>
  </si>
  <si>
    <t>Attack Gen Fulltext</t>
  </si>
  <si>
    <t>AFT Generation</t>
  </si>
  <si>
    <t>AFT2DFT</t>
  </si>
  <si>
    <t>MC</t>
  </si>
  <si>
    <t>Sum:</t>
  </si>
  <si>
    <t>Gen Dataflow Model</t>
  </si>
  <si>
    <t>sd sum</t>
  </si>
  <si>
    <t>avg</t>
  </si>
  <si>
    <t>sd</t>
  </si>
  <si>
    <t>avg sum</t>
  </si>
  <si>
    <t>values: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</si>
</sst>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/>
    <xf numFmtId="0" fontId="0" fillId="0" borderId="11" xfId="0" applyBorder="1"/>
    <xf numFmtId="164" fontId="0" fillId="0" borderId="10" xfId="0" applyNumberFormat="1" applyBorder="1"/>
    <xf numFmtId="164" fontId="0" fillId="0" borderId="0" xfId="0" applyNumberFormat="1"/>
    <xf numFmtId="164" fontId="0" fillId="0" borderId="11" xfId="0" applyNumberFormat="1" applyBorder="1"/>
    <xf numFmtId="164" fontId="0" fillId="0" borderId="0" xfId="0" applyNumberFormat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2" xfId="0" applyBorder="1"/>
    <xf numFmtId="164" fontId="0" fillId="0" borderId="14" xfId="0" applyNumberFormat="1" applyBorder="1"/>
    <xf numFmtId="164" fontId="0" fillId="0" borderId="15" xfId="0" applyNumberFormat="1" applyBorder="1"/>
    <xf numFmtId="164" fontId="0" fillId="0" borderId="15" xfId="0" applyNumberFormat="1" applyBorder="1" applyAlignment="1">
      <alignment horizontal="right"/>
    </xf>
    <xf numFmtId="164" fontId="0" fillId="0" borderId="16" xfId="0" applyNumberFormat="1" applyBorder="1"/>
    <xf numFmtId="164" fontId="0" fillId="0" borderId="12" xfId="0" applyNumberFormat="1" applyBorder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6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7" sqref="N7:N106"/>
    </sheetView>
  </sheetViews>
  <sheetFormatPr baseColWidth="10" defaultRowHeight="15" x14ac:dyDescent="0.25"/>
  <cols>
    <col min="1" max="1" width="11.42578125" style="1"/>
    <col min="2" max="2" width="18.28515625" bestFit="1" customWidth="1"/>
    <col min="3" max="3" width="12.7109375" bestFit="1" customWidth="1"/>
    <col min="4" max="4" width="18.42578125" bestFit="1" customWidth="1"/>
    <col min="5" max="5" width="16.85546875" style="1" bestFit="1" customWidth="1"/>
    <col min="6" max="6" width="24.140625" bestFit="1" customWidth="1"/>
    <col min="7" max="7" width="20" style="1" bestFit="1" customWidth="1"/>
    <col min="8" max="8" width="19.28515625" bestFit="1" customWidth="1"/>
    <col min="9" max="9" width="19.140625" bestFit="1" customWidth="1"/>
    <col min="10" max="10" width="15.140625" bestFit="1" customWidth="1"/>
    <col min="11" max="11" width="18" style="1" bestFit="1" customWidth="1"/>
    <col min="12" max="12" width="14.7109375" style="2" bestFit="1" customWidth="1"/>
    <col min="13" max="13" width="12.7109375" bestFit="1" customWidth="1"/>
    <col min="14" max="14" width="12.7109375" style="1" bestFit="1" customWidth="1"/>
    <col min="15" max="15" width="11.42578125" style="5"/>
  </cols>
  <sheetData>
    <row r="1" spans="1:15" x14ac:dyDescent="0.25">
      <c r="B1" s="7" t="s">
        <v>0</v>
      </c>
      <c r="C1" t="s">
        <v>1</v>
      </c>
      <c r="D1" t="s">
        <v>2</v>
      </c>
      <c r="E1" s="1" t="s">
        <v>3</v>
      </c>
      <c r="F1" t="s">
        <v>4</v>
      </c>
      <c r="G1" s="1" t="s">
        <v>5</v>
      </c>
      <c r="H1" t="s">
        <v>6</v>
      </c>
      <c r="I1" t="s">
        <v>7</v>
      </c>
      <c r="J1" t="s">
        <v>8</v>
      </c>
      <c r="K1" s="1" t="s">
        <v>9</v>
      </c>
      <c r="L1" s="2" t="s">
        <v>10</v>
      </c>
      <c r="M1" t="s">
        <v>11</v>
      </c>
      <c r="N1" s="1" t="s">
        <v>12</v>
      </c>
      <c r="O1" s="2" t="s">
        <v>25</v>
      </c>
    </row>
    <row r="2" spans="1:15" ht="15.75" thickBot="1" x14ac:dyDescent="0.3">
      <c r="A2" s="10"/>
      <c r="B2" s="8" t="s">
        <v>26</v>
      </c>
      <c r="C2" s="9" t="s">
        <v>13</v>
      </c>
      <c r="D2" s="9" t="s">
        <v>14</v>
      </c>
      <c r="E2" s="10" t="s">
        <v>15</v>
      </c>
      <c r="F2" s="9" t="s">
        <v>16</v>
      </c>
      <c r="G2" s="10" t="s">
        <v>17</v>
      </c>
      <c r="H2" s="9" t="s">
        <v>18</v>
      </c>
      <c r="I2" s="9" t="s">
        <v>19</v>
      </c>
      <c r="J2" s="9" t="s">
        <v>20</v>
      </c>
      <c r="K2" s="10" t="s">
        <v>21</v>
      </c>
      <c r="L2" s="11" t="s">
        <v>22</v>
      </c>
      <c r="M2" s="9" t="s">
        <v>23</v>
      </c>
      <c r="N2" s="10" t="s">
        <v>24</v>
      </c>
      <c r="O2" s="11"/>
    </row>
    <row r="3" spans="1:15" ht="15.75" thickTop="1" x14ac:dyDescent="0.25">
      <c r="A3" s="1" t="s">
        <v>28</v>
      </c>
      <c r="B3" s="4">
        <f t="shared" ref="B3:N3" si="0">AVERAGE(B7:B106)</f>
        <v>2.2400567343807749</v>
      </c>
      <c r="C3" s="4">
        <f t="shared" si="0"/>
        <v>0.38862630641073326</v>
      </c>
      <c r="D3" s="4">
        <f t="shared" si="0"/>
        <v>0.10836520817028904</v>
      </c>
      <c r="E3" s="3">
        <f t="shared" si="0"/>
        <v>2.241555616010007</v>
      </c>
      <c r="F3" s="4">
        <f t="shared" si="0"/>
        <v>1.9300830833709888</v>
      </c>
      <c r="G3" s="3">
        <f t="shared" si="0"/>
        <v>271.99466391209171</v>
      </c>
      <c r="H3" s="4">
        <f t="shared" si="0"/>
        <v>0.22380398446082808</v>
      </c>
      <c r="I3" s="4">
        <f t="shared" si="0"/>
        <v>23.054330294870578</v>
      </c>
      <c r="J3" s="4">
        <f t="shared" si="0"/>
        <v>35.786938303269501</v>
      </c>
      <c r="K3" s="3">
        <f t="shared" si="0"/>
        <v>3.0398757858305157</v>
      </c>
      <c r="L3" s="5">
        <f t="shared" si="0"/>
        <v>17.429367935521562</v>
      </c>
      <c r="M3" s="4">
        <f t="shared" si="0"/>
        <v>2.1395660853610008</v>
      </c>
      <c r="N3" s="3">
        <f t="shared" si="0"/>
        <v>37.042007874788531</v>
      </c>
      <c r="O3" s="5">
        <f>SUM(B3:N3)</f>
        <v>397.61924112453698</v>
      </c>
    </row>
    <row r="4" spans="1:15" x14ac:dyDescent="0.25">
      <c r="A4" s="1" t="s">
        <v>30</v>
      </c>
      <c r="B4" s="4"/>
      <c r="C4" s="4"/>
      <c r="D4" s="6"/>
      <c r="E4" s="3">
        <f>SUM(B3:E3)</f>
        <v>4.9786038649718041</v>
      </c>
      <c r="F4" s="6"/>
      <c r="G4" s="3">
        <f>SUM(F3:G3)</f>
        <v>273.92474699546273</v>
      </c>
      <c r="H4" s="4"/>
      <c r="I4" s="4"/>
      <c r="J4" s="6"/>
      <c r="K4" s="3">
        <f>SUM(H3:K3)</f>
        <v>62.104948368431423</v>
      </c>
      <c r="L4" s="3">
        <f>SUM(L3:L3)</f>
        <v>17.429367935521562</v>
      </c>
      <c r="M4" s="6"/>
      <c r="N4" s="3">
        <f>SUM(M3:N3)</f>
        <v>39.181573960149535</v>
      </c>
      <c r="O4" s="5">
        <f>SUM(E4+G4+K4+L4+N4)</f>
        <v>397.6192411245371</v>
      </c>
    </row>
    <row r="5" spans="1:15" x14ac:dyDescent="0.25">
      <c r="A5" s="1" t="s">
        <v>29</v>
      </c>
      <c r="B5" s="4">
        <f t="shared" ref="B5:N5" si="1">AVEDEV(B7:B106)</f>
        <v>0.81085815440386166</v>
      </c>
      <c r="C5" s="4">
        <f t="shared" si="1"/>
        <v>6.8685394748666676E-3</v>
      </c>
      <c r="D5" s="4">
        <f t="shared" si="1"/>
        <v>1.6344223203341281E-3</v>
      </c>
      <c r="E5" s="3">
        <f t="shared" si="1"/>
        <v>0.20250370935640385</v>
      </c>
      <c r="F5" s="4">
        <f t="shared" si="1"/>
        <v>6.8160083626391726E-2</v>
      </c>
      <c r="G5" s="3">
        <f t="shared" si="1"/>
        <v>0.5418246435963272</v>
      </c>
      <c r="H5" s="4">
        <f t="shared" si="1"/>
        <v>1.9706429224520348E-3</v>
      </c>
      <c r="I5" s="4">
        <f t="shared" si="1"/>
        <v>0.2937457702295414</v>
      </c>
      <c r="J5" s="4">
        <f t="shared" si="1"/>
        <v>32.705308431330714</v>
      </c>
      <c r="K5" s="3">
        <f t="shared" si="1"/>
        <v>7.5674059813839178E-2</v>
      </c>
      <c r="L5" s="5">
        <f t="shared" si="1"/>
        <v>0.17599877608961362</v>
      </c>
      <c r="M5" s="4">
        <f t="shared" si="1"/>
        <v>3.1345061579195393E-2</v>
      </c>
      <c r="N5" s="3">
        <f t="shared" si="1"/>
        <v>0.18178254894600043</v>
      </c>
      <c r="O5" s="5">
        <f>SQRT(B5*B5+C5*C5+D5*D5+E5*E5+F5*F5+G5*G5+H5*H5+I5*I5+J5*J5+K5*K5+L5*L5+M5*M5+N5*N5)</f>
        <v>32.722942836462295</v>
      </c>
    </row>
    <row r="6" spans="1:15" ht="15.75" thickBot="1" x14ac:dyDescent="0.3">
      <c r="A6" s="10" t="s">
        <v>27</v>
      </c>
      <c r="B6" s="12"/>
      <c r="C6" s="13"/>
      <c r="D6" s="14"/>
      <c r="E6" s="15">
        <f>SQRT(B5*B5+C5*C5+D5*D5+E5*E5)</f>
        <v>0.83579216737008177</v>
      </c>
      <c r="F6" s="14"/>
      <c r="G6" s="15">
        <f>SQRT(F5*F5+G5*G5)</f>
        <v>0.54609499302616182</v>
      </c>
      <c r="H6" s="13"/>
      <c r="I6" s="13"/>
      <c r="J6" s="14"/>
      <c r="K6" s="15">
        <f>SQRT(H5*H5+I5*I5+J5*J5+K5*K5)</f>
        <v>32.706715160846734</v>
      </c>
      <c r="L6" s="16">
        <f>L5</f>
        <v>0.17599877608961362</v>
      </c>
      <c r="M6" s="14"/>
      <c r="N6" s="15">
        <f>SQRT(M5*M5+N5*N5)</f>
        <v>0.184465194512972</v>
      </c>
      <c r="O6" s="16">
        <f>SQRT(E6*E6+G6*G6+K6*K6+L6*L6+N6*N6)</f>
        <v>32.722942836462288</v>
      </c>
    </row>
    <row r="7" spans="1:15" ht="15.75" thickTop="1" x14ac:dyDescent="0.25">
      <c r="A7" s="1" t="s">
        <v>31</v>
      </c>
      <c r="B7" s="4">
        <v>3.2969046839862099</v>
      </c>
      <c r="C7" s="4">
        <v>0.38733245000184902</v>
      </c>
      <c r="D7" s="4">
        <v>0.11009916500188401</v>
      </c>
      <c r="E7" s="3">
        <v>3.8039151249977201</v>
      </c>
      <c r="F7" s="4">
        <v>2.1307754589943202</v>
      </c>
      <c r="G7" s="3">
        <v>270.43669890599199</v>
      </c>
      <c r="H7" s="4">
        <v>0.22467510600108601</v>
      </c>
      <c r="I7" s="4">
        <v>22.563992014998799</v>
      </c>
      <c r="J7" s="4">
        <v>151.96977228700399</v>
      </c>
      <c r="K7" s="3">
        <v>2.93582376500125</v>
      </c>
      <c r="L7" s="5">
        <v>17.238533433992401</v>
      </c>
      <c r="M7" s="4">
        <v>2.0927285090146999</v>
      </c>
      <c r="N7" s="3">
        <v>37.105330061982301</v>
      </c>
    </row>
    <row r="8" spans="1:15" x14ac:dyDescent="0.25">
      <c r="B8" s="4">
        <v>1.55770756000129</v>
      </c>
      <c r="C8" s="4">
        <v>0.37679073099570798</v>
      </c>
      <c r="D8" s="4">
        <v>0.113234427000861</v>
      </c>
      <c r="E8" s="3">
        <v>3.2732363440009</v>
      </c>
      <c r="F8" s="4">
        <v>2.16639800200937</v>
      </c>
      <c r="G8" s="3">
        <v>270.40921151600099</v>
      </c>
      <c r="H8" s="4">
        <v>0.22195389500120599</v>
      </c>
      <c r="I8" s="4">
        <v>22.596352544001999</v>
      </c>
      <c r="J8" s="4">
        <v>138.756882153014</v>
      </c>
      <c r="K8" s="3">
        <v>2.9690303389943402</v>
      </c>
      <c r="L8" s="5">
        <v>17.721440476016099</v>
      </c>
      <c r="M8" s="4">
        <v>2.14927378701395</v>
      </c>
      <c r="N8" s="3">
        <v>37.139623130991801</v>
      </c>
    </row>
    <row r="9" spans="1:15" x14ac:dyDescent="0.25">
      <c r="B9" s="4">
        <v>4.2874918439920204</v>
      </c>
      <c r="C9" s="4">
        <v>0.380073292995803</v>
      </c>
      <c r="D9" s="4">
        <v>0.10956342099234399</v>
      </c>
      <c r="E9" s="3">
        <v>3.3569017160043502</v>
      </c>
      <c r="F9" s="4">
        <v>2.07062628099811</v>
      </c>
      <c r="G9" s="3">
        <v>270.257741157998</v>
      </c>
      <c r="H9" s="4">
        <v>0.221360288007417</v>
      </c>
      <c r="I9" s="4">
        <v>23.0745210470049</v>
      </c>
      <c r="J9" s="4">
        <v>103.166421080997</v>
      </c>
      <c r="K9" s="3">
        <v>2.9705037420062501</v>
      </c>
      <c r="L9" s="5">
        <v>17.427198018995099</v>
      </c>
      <c r="M9" s="4">
        <v>2.1103260270028801</v>
      </c>
      <c r="N9" s="3">
        <v>37.317648435011499</v>
      </c>
    </row>
    <row r="10" spans="1:15" x14ac:dyDescent="0.25">
      <c r="B10" s="4">
        <v>1.541512382988</v>
      </c>
      <c r="C10" s="4">
        <v>0.38405982599942901</v>
      </c>
      <c r="D10" s="4">
        <v>0.111453853998682</v>
      </c>
      <c r="E10" s="3">
        <v>2.87638412500382</v>
      </c>
      <c r="F10" s="4">
        <v>2.0792786370002401</v>
      </c>
      <c r="G10" s="3">
        <v>270.650181432007</v>
      </c>
      <c r="H10" s="4">
        <v>0.22269647900247899</v>
      </c>
      <c r="I10" s="4">
        <v>22.217314169000002</v>
      </c>
      <c r="J10" s="4">
        <v>139.699000339023</v>
      </c>
      <c r="K10" s="3">
        <v>2.9199878150102401</v>
      </c>
      <c r="L10" s="5">
        <v>17.315517665003402</v>
      </c>
      <c r="M10" s="4">
        <v>2.0654305310163101</v>
      </c>
      <c r="N10" s="3">
        <v>36.926995474990598</v>
      </c>
    </row>
    <row r="11" spans="1:15" x14ac:dyDescent="0.25">
      <c r="B11" s="4">
        <v>1.52540455400594</v>
      </c>
      <c r="C11" s="4">
        <v>0.38222510198829601</v>
      </c>
      <c r="D11" s="4">
        <v>0.108348118999856</v>
      </c>
      <c r="E11" s="3">
        <v>3.0844984389987</v>
      </c>
      <c r="F11" s="4">
        <v>2.04884966599638</v>
      </c>
      <c r="G11" s="3">
        <v>270.438141354999</v>
      </c>
      <c r="H11" s="4">
        <v>0.22377538199361799</v>
      </c>
      <c r="I11" s="4">
        <v>23.663006393006</v>
      </c>
      <c r="J11" s="4">
        <v>112.420349374995</v>
      </c>
      <c r="K11" s="3">
        <v>2.9648068870010298</v>
      </c>
      <c r="L11" s="5">
        <v>17.547382199001699</v>
      </c>
      <c r="M11" s="4">
        <v>2.1612695410149101</v>
      </c>
      <c r="N11" s="3">
        <v>36.993741854996102</v>
      </c>
    </row>
    <row r="12" spans="1:15" x14ac:dyDescent="0.25">
      <c r="B12" s="4">
        <v>1.7935470650117999</v>
      </c>
      <c r="C12" s="4">
        <v>0.40710138999565898</v>
      </c>
      <c r="D12" s="4">
        <v>0.109580199990887</v>
      </c>
      <c r="E12" s="3">
        <v>2.66199108900036</v>
      </c>
      <c r="F12" s="4">
        <v>2.1911256900057099</v>
      </c>
      <c r="G12" s="3">
        <v>270.09896707799601</v>
      </c>
      <c r="H12" s="4">
        <v>0.22241348501120201</v>
      </c>
      <c r="I12" s="4">
        <v>24.285669513003</v>
      </c>
      <c r="J12" s="4">
        <v>75.730838548974106</v>
      </c>
      <c r="K12" s="3">
        <v>3.1317649490083501</v>
      </c>
      <c r="L12" s="5">
        <v>17.235066074004799</v>
      </c>
      <c r="M12" s="4">
        <v>2.0583143080002602</v>
      </c>
      <c r="N12" s="3">
        <v>36.942120469000599</v>
      </c>
    </row>
    <row r="13" spans="1:15" x14ac:dyDescent="0.25">
      <c r="B13" s="4">
        <v>1.54044511199754</v>
      </c>
      <c r="C13" s="4">
        <v>0.38969620400166599</v>
      </c>
      <c r="D13" s="4">
        <v>0.109349668011418</v>
      </c>
      <c r="E13" s="3">
        <v>2.6644681250036202</v>
      </c>
      <c r="F13" s="4">
        <v>2.0881792169966502</v>
      </c>
      <c r="G13" s="3">
        <v>269.83751975699801</v>
      </c>
      <c r="H13" s="4">
        <v>0.221133491999353</v>
      </c>
      <c r="I13" s="4">
        <v>22.896080890000999</v>
      </c>
      <c r="J13" s="4">
        <v>121.99448253898299</v>
      </c>
      <c r="K13" s="3">
        <v>3.1367041900084498</v>
      </c>
      <c r="L13" s="5">
        <v>17.247197001008299</v>
      </c>
      <c r="M13" s="4">
        <v>2.1552656109852202</v>
      </c>
      <c r="N13" s="3">
        <v>37.2389969369978</v>
      </c>
    </row>
    <row r="14" spans="1:15" x14ac:dyDescent="0.25">
      <c r="B14" s="4">
        <v>1.6164920220035099</v>
      </c>
      <c r="C14" s="4">
        <v>0.369910569992498</v>
      </c>
      <c r="D14" s="4">
        <v>0.10895303600409501</v>
      </c>
      <c r="E14" s="3">
        <v>2.6435329719970402</v>
      </c>
      <c r="F14" s="4">
        <v>2.1755016800016098</v>
      </c>
      <c r="G14" s="3">
        <v>270.27967545800402</v>
      </c>
      <c r="H14" s="4">
        <v>0.222411050999653</v>
      </c>
      <c r="I14" s="4">
        <v>22.763425453012999</v>
      </c>
      <c r="J14" s="4">
        <v>97.759388895006794</v>
      </c>
      <c r="K14" s="3">
        <v>3.00325376501132</v>
      </c>
      <c r="L14" s="5">
        <v>17.6269813520193</v>
      </c>
      <c r="M14" s="4">
        <v>2.0989693829906102</v>
      </c>
      <c r="N14" s="3">
        <v>37.0216027880087</v>
      </c>
    </row>
    <row r="15" spans="1:15" x14ac:dyDescent="0.25">
      <c r="B15" s="4">
        <v>4.5495351879944703</v>
      </c>
      <c r="C15" s="4">
        <v>0.37923274700005999</v>
      </c>
      <c r="D15" s="4">
        <v>0.108021719992393</v>
      </c>
      <c r="E15" s="3">
        <v>2.71188852099294</v>
      </c>
      <c r="F15" s="4">
        <v>2.1295748219999902</v>
      </c>
      <c r="G15" s="3">
        <v>270.131915439007</v>
      </c>
      <c r="H15" s="4">
        <v>0.22727842698805001</v>
      </c>
      <c r="I15" s="4">
        <v>23.757988198995001</v>
      </c>
      <c r="J15" s="4">
        <v>135.24490696698101</v>
      </c>
      <c r="K15" s="3">
        <v>3.0402371169911899</v>
      </c>
      <c r="L15" s="5">
        <v>18.017889320006301</v>
      </c>
      <c r="M15" s="4">
        <v>2.2049329559959001</v>
      </c>
      <c r="N15" s="3">
        <v>37.477032633003503</v>
      </c>
    </row>
    <row r="16" spans="1:15" x14ac:dyDescent="0.25">
      <c r="B16" s="4">
        <v>3.2750099620025099</v>
      </c>
      <c r="C16" s="4">
        <v>0.37969396699918401</v>
      </c>
      <c r="D16" s="4">
        <v>0.108245613009785</v>
      </c>
      <c r="E16" s="3">
        <v>2.6531292399886199</v>
      </c>
      <c r="F16" s="4">
        <v>2.0962101290060602</v>
      </c>
      <c r="G16" s="3">
        <v>270.599750860987</v>
      </c>
      <c r="H16" s="4">
        <v>0.22217245599313101</v>
      </c>
      <c r="I16" s="4">
        <v>22.973270603993999</v>
      </c>
      <c r="J16" s="4">
        <v>69.014135106990494</v>
      </c>
      <c r="K16" s="3">
        <v>3.05825204400753</v>
      </c>
      <c r="L16" s="5">
        <v>17.437542329018399</v>
      </c>
      <c r="M16" s="4">
        <v>2.1802696619997701</v>
      </c>
      <c r="N16" s="3">
        <v>36.822672943002502</v>
      </c>
    </row>
    <row r="17" spans="2:14" x14ac:dyDescent="0.25">
      <c r="B17" s="4">
        <v>1.5448672440106701</v>
      </c>
      <c r="C17" s="4">
        <v>0.39905622901278498</v>
      </c>
      <c r="D17" s="4">
        <v>0.110054020013194</v>
      </c>
      <c r="E17" s="3">
        <v>2.644068056994</v>
      </c>
      <c r="F17" s="4">
        <v>2.0767951940069902</v>
      </c>
      <c r="G17" s="3">
        <v>272.67234119898001</v>
      </c>
      <c r="H17" s="4">
        <v>0.22237456600123501</v>
      </c>
      <c r="I17" s="4">
        <v>22.772016482995198</v>
      </c>
      <c r="J17" s="4">
        <v>61.8303375980176</v>
      </c>
      <c r="K17" s="3">
        <v>2.9448826050065602</v>
      </c>
      <c r="L17" s="5">
        <v>17.408329030004001</v>
      </c>
      <c r="M17" s="4">
        <v>2.15951849799603</v>
      </c>
      <c r="N17" s="3">
        <v>37.048503997007998</v>
      </c>
    </row>
    <row r="18" spans="2:14" x14ac:dyDescent="0.25">
      <c r="B18" s="4">
        <v>4.0255993789905897</v>
      </c>
      <c r="C18" s="4">
        <v>0.40031602799717803</v>
      </c>
      <c r="D18" s="4">
        <v>0.107899613998597</v>
      </c>
      <c r="E18" s="3">
        <v>2.7008684079919401</v>
      </c>
      <c r="F18" s="4">
        <v>1.9076618990075001</v>
      </c>
      <c r="G18" s="3">
        <v>273.06235907299498</v>
      </c>
      <c r="H18" s="4">
        <v>0.222555516011198</v>
      </c>
      <c r="I18" s="4">
        <v>22.0143050470069</v>
      </c>
      <c r="J18" s="4">
        <v>65.282288680988103</v>
      </c>
      <c r="K18" s="3">
        <v>2.9366505439975299</v>
      </c>
      <c r="L18" s="5">
        <v>17.2976068339776</v>
      </c>
      <c r="M18" s="4">
        <v>2.1259447619959202</v>
      </c>
      <c r="N18" s="3">
        <v>37.0787434870144</v>
      </c>
    </row>
    <row r="19" spans="2:14" x14ac:dyDescent="0.25">
      <c r="B19" s="4">
        <v>1.53920666901103</v>
      </c>
      <c r="C19" s="4">
        <v>0.39517963999242001</v>
      </c>
      <c r="D19" s="4">
        <v>0.110064072010573</v>
      </c>
      <c r="E19" s="3">
        <v>2.6662205980101099</v>
      </c>
      <c r="F19" s="4">
        <v>1.9011064429942</v>
      </c>
      <c r="G19" s="3">
        <v>272.95190156201699</v>
      </c>
      <c r="H19" s="4">
        <v>0.221432475998881</v>
      </c>
      <c r="I19" s="4">
        <v>23.1495741949911</v>
      </c>
      <c r="J19" s="4">
        <v>96.514056796993799</v>
      </c>
      <c r="K19" s="3">
        <v>2.9211363170034002</v>
      </c>
      <c r="L19" s="5">
        <v>17.546881098009099</v>
      </c>
      <c r="M19" s="4">
        <v>2.0897828520100998</v>
      </c>
      <c r="N19" s="3">
        <v>37.001997995015699</v>
      </c>
    </row>
    <row r="20" spans="2:14" x14ac:dyDescent="0.25">
      <c r="B20" s="4">
        <v>1.5393633020139501</v>
      </c>
      <c r="C20" s="4">
        <v>0.38168377100373602</v>
      </c>
      <c r="D20" s="4">
        <v>0.10758242700831</v>
      </c>
      <c r="E20" s="3">
        <v>2.6950902440003102</v>
      </c>
      <c r="F20" s="4">
        <v>1.9036706500046401</v>
      </c>
      <c r="G20" s="3">
        <v>272.50863352100703</v>
      </c>
      <c r="H20" s="4">
        <v>0.222721445999923</v>
      </c>
      <c r="I20" s="4">
        <v>22.909933379996801</v>
      </c>
      <c r="J20" s="4">
        <v>78.215934953011995</v>
      </c>
      <c r="K20" s="3">
        <v>2.9790649679925898</v>
      </c>
      <c r="L20" s="5">
        <v>17.707118044025201</v>
      </c>
      <c r="M20" s="4">
        <v>2.1106560739863198</v>
      </c>
      <c r="N20" s="3">
        <v>36.666032185981699</v>
      </c>
    </row>
    <row r="21" spans="2:14" x14ac:dyDescent="0.25">
      <c r="B21" s="4">
        <v>4.2770451000105796</v>
      </c>
      <c r="C21" s="4">
        <v>0.39013005701417502</v>
      </c>
      <c r="D21" s="4">
        <v>0.109853068002848</v>
      </c>
      <c r="E21" s="3">
        <v>2.6529771810019098</v>
      </c>
      <c r="F21" s="4">
        <v>1.88475930500135</v>
      </c>
      <c r="G21" s="3">
        <v>271.55802400101601</v>
      </c>
      <c r="H21" s="4">
        <v>0.226307996010291</v>
      </c>
      <c r="I21" s="4">
        <v>22.781526463004401</v>
      </c>
      <c r="J21" s="4">
        <v>66.425798460986698</v>
      </c>
      <c r="K21" s="3">
        <v>2.98941019200719</v>
      </c>
      <c r="L21" s="5">
        <v>17.606523736001598</v>
      </c>
      <c r="M21" s="4">
        <v>2.1611288080166502</v>
      </c>
      <c r="N21" s="3">
        <v>36.737779899005503</v>
      </c>
    </row>
    <row r="22" spans="2:14" x14ac:dyDescent="0.25">
      <c r="B22" s="4">
        <v>1.52289010499953</v>
      </c>
      <c r="C22" s="4">
        <v>0.38943090698739902</v>
      </c>
      <c r="D22" s="4">
        <v>0.110425425009452</v>
      </c>
      <c r="E22" s="3">
        <v>2.6593941579922098</v>
      </c>
      <c r="F22" s="4">
        <v>1.9526204499998101</v>
      </c>
      <c r="G22" s="3">
        <v>271.262494288006</v>
      </c>
      <c r="H22" s="4">
        <v>0.22469924000324601</v>
      </c>
      <c r="I22" s="4">
        <v>23.2119901230034</v>
      </c>
      <c r="J22" s="4">
        <v>133.264165871019</v>
      </c>
      <c r="K22" s="3">
        <v>2.94912531299632</v>
      </c>
      <c r="L22" s="5">
        <v>17.130222051986401</v>
      </c>
      <c r="M22" s="4">
        <v>2.1433792109892198</v>
      </c>
      <c r="N22" s="3">
        <v>37.086366191011599</v>
      </c>
    </row>
    <row r="23" spans="2:14" x14ac:dyDescent="0.25">
      <c r="B23" s="4">
        <v>1.53321599699847</v>
      </c>
      <c r="C23" s="4">
        <v>0.38015539699699702</v>
      </c>
      <c r="D23" s="4">
        <v>0.109606108002481</v>
      </c>
      <c r="E23" s="3">
        <v>2.4830665980116402</v>
      </c>
      <c r="F23" s="4">
        <v>1.8940800640120801</v>
      </c>
      <c r="G23" s="3">
        <v>272.67399157001603</v>
      </c>
      <c r="H23" s="4">
        <v>0.223623292011325</v>
      </c>
      <c r="I23" s="4">
        <v>22.997797123010901</v>
      </c>
      <c r="J23" s="4">
        <v>122.71107963199</v>
      </c>
      <c r="K23" s="3">
        <v>3.02998837700579</v>
      </c>
      <c r="L23" s="5">
        <v>17.262252848013301</v>
      </c>
      <c r="M23" s="4">
        <v>2.11974819700117</v>
      </c>
      <c r="N23" s="3">
        <v>36.8873725739831</v>
      </c>
    </row>
    <row r="24" spans="2:14" x14ac:dyDescent="0.25">
      <c r="B24" s="4">
        <v>4.0376176839927203</v>
      </c>
      <c r="C24" s="4">
        <v>0.36937100799695999</v>
      </c>
      <c r="D24" s="4">
        <v>0.108631996001349</v>
      </c>
      <c r="E24" s="3">
        <v>2.1737287440046198</v>
      </c>
      <c r="F24" s="4">
        <v>1.86185843900602</v>
      </c>
      <c r="G24" s="3">
        <v>272.58318479300902</v>
      </c>
      <c r="H24" s="4">
        <v>0.22151234099874201</v>
      </c>
      <c r="I24" s="4">
        <v>22.5657186339958</v>
      </c>
      <c r="J24" s="4">
        <v>105.321454955992</v>
      </c>
      <c r="K24" s="3">
        <v>2.9552343579998701</v>
      </c>
      <c r="L24" s="5">
        <v>17.001098017004502</v>
      </c>
      <c r="M24" s="4">
        <v>2.1804074929968902</v>
      </c>
      <c r="N24" s="3">
        <v>37.535695647995396</v>
      </c>
    </row>
    <row r="25" spans="2:14" x14ac:dyDescent="0.25">
      <c r="B25" s="4">
        <v>1.5382550700014599</v>
      </c>
      <c r="C25" s="4">
        <v>0.40713559499999902</v>
      </c>
      <c r="D25" s="4">
        <v>0.10945402699871901</v>
      </c>
      <c r="E25" s="3">
        <v>2.14143654200597</v>
      </c>
      <c r="F25" s="4">
        <v>1.8789659739995801</v>
      </c>
      <c r="G25" s="3">
        <v>272.71350964001601</v>
      </c>
      <c r="H25" s="4">
        <v>0.225816908001434</v>
      </c>
      <c r="I25" s="4">
        <v>24.2611573940084</v>
      </c>
      <c r="J25" s="4">
        <v>16.4739085220207</v>
      </c>
      <c r="K25" s="3">
        <v>2.9326313289930099</v>
      </c>
      <c r="L25" s="5">
        <v>17.4581486670067</v>
      </c>
      <c r="M25" s="4">
        <v>2.2089280460204401</v>
      </c>
      <c r="N25" s="3">
        <v>36.802974297985202</v>
      </c>
    </row>
    <row r="26" spans="2:14" x14ac:dyDescent="0.25">
      <c r="B26" s="4">
        <v>1.54266593599459</v>
      </c>
      <c r="C26" s="4">
        <v>0.40211169599206098</v>
      </c>
      <c r="D26" s="4">
        <v>0.10979274701094199</v>
      </c>
      <c r="E26" s="3">
        <v>2.1050625509960801</v>
      </c>
      <c r="F26" s="4">
        <v>1.8944530219887299</v>
      </c>
      <c r="G26" s="3">
        <v>272.60617484099902</v>
      </c>
      <c r="H26" s="4">
        <v>0.222695410993765</v>
      </c>
      <c r="I26" s="4">
        <v>22.5794039169995</v>
      </c>
      <c r="J26" s="4">
        <v>38.032702219992601</v>
      </c>
      <c r="K26" s="3">
        <v>2.8606370850029599</v>
      </c>
      <c r="L26" s="5">
        <v>17.3614909189927</v>
      </c>
      <c r="M26" s="4">
        <v>2.14478730299742</v>
      </c>
      <c r="N26" s="3">
        <v>36.936524846998502</v>
      </c>
    </row>
    <row r="27" spans="2:14" x14ac:dyDescent="0.25">
      <c r="B27" s="4">
        <v>1.3092925160017299</v>
      </c>
      <c r="C27" s="4">
        <v>0.40263164900534298</v>
      </c>
      <c r="D27" s="4">
        <v>0.108350524998968</v>
      </c>
      <c r="E27" s="3">
        <v>1.9914940759917901</v>
      </c>
      <c r="F27" s="4">
        <v>1.8521904219960501</v>
      </c>
      <c r="G27" s="3">
        <v>272.55440601598798</v>
      </c>
      <c r="H27" s="4">
        <v>0.221987739991163</v>
      </c>
      <c r="I27" s="4">
        <v>22.580682953994199</v>
      </c>
      <c r="J27" s="4">
        <v>21.684031438984601</v>
      </c>
      <c r="K27" s="3">
        <v>2.9620214510068701</v>
      </c>
      <c r="L27" s="5">
        <v>17.048460313002501</v>
      </c>
      <c r="M27" s="4">
        <v>2.2151369109924399</v>
      </c>
      <c r="N27" s="3">
        <v>36.821346749988102</v>
      </c>
    </row>
    <row r="28" spans="2:14" x14ac:dyDescent="0.25">
      <c r="B28" s="4">
        <v>1.5530811339995101</v>
      </c>
      <c r="C28" s="4">
        <v>0.381246017001103</v>
      </c>
      <c r="D28" s="4">
        <v>0.10841209499630999</v>
      </c>
      <c r="E28" s="3">
        <v>2.1947981590055798</v>
      </c>
      <c r="F28" s="4">
        <v>1.8134049720101699</v>
      </c>
      <c r="G28" s="3">
        <v>273.98220817401301</v>
      </c>
      <c r="H28" s="4">
        <v>0.22566867800196599</v>
      </c>
      <c r="I28" s="4">
        <v>23.001606712001301</v>
      </c>
      <c r="J28" s="4">
        <v>29.254949765017901</v>
      </c>
      <c r="K28" s="3">
        <v>2.94672562699997</v>
      </c>
      <c r="L28" s="5">
        <v>17.586925504991001</v>
      </c>
      <c r="M28" s="4">
        <v>2.1392746609926601</v>
      </c>
      <c r="N28" s="3">
        <v>36.865952774009202</v>
      </c>
    </row>
    <row r="29" spans="2:14" x14ac:dyDescent="0.25">
      <c r="B29" s="4">
        <v>2.5498445460107102</v>
      </c>
      <c r="C29" s="4">
        <v>0.37238745400099998</v>
      </c>
      <c r="D29" s="4">
        <v>0.109532921997015</v>
      </c>
      <c r="E29" s="3">
        <v>2.07809235599415</v>
      </c>
      <c r="F29" s="4">
        <v>1.8144390639936301</v>
      </c>
      <c r="G29" s="3">
        <v>272.40097312501098</v>
      </c>
      <c r="H29" s="4">
        <v>0.22446127400325999</v>
      </c>
      <c r="I29" s="4">
        <v>22.8280384749959</v>
      </c>
      <c r="J29" s="4">
        <v>13.7069792470138</v>
      </c>
      <c r="K29" s="3">
        <v>3.0489402259990999</v>
      </c>
      <c r="L29" s="5">
        <v>17.332809345010901</v>
      </c>
      <c r="M29" s="4">
        <v>2.1620026789896598</v>
      </c>
      <c r="N29" s="3">
        <v>37.2136779669963</v>
      </c>
    </row>
    <row r="30" spans="2:14" x14ac:dyDescent="0.25">
      <c r="B30" s="4">
        <v>1.55150110200338</v>
      </c>
      <c r="C30" s="4">
        <v>0.39218928200716602</v>
      </c>
      <c r="D30" s="4">
        <v>0.107493029005127</v>
      </c>
      <c r="E30" s="3">
        <v>2.10234308999497</v>
      </c>
      <c r="F30" s="4">
        <v>1.9195522890076899</v>
      </c>
      <c r="G30" s="3">
        <v>272.63610333300301</v>
      </c>
      <c r="H30" s="4">
        <v>0.22328618899336999</v>
      </c>
      <c r="I30" s="4">
        <v>22.961737792997098</v>
      </c>
      <c r="J30" s="4">
        <v>11.2708852000068</v>
      </c>
      <c r="K30" s="3">
        <v>2.9615563660045101</v>
      </c>
      <c r="L30" s="5">
        <v>17.692256667010898</v>
      </c>
      <c r="M30" s="4">
        <v>2.1327790649957001</v>
      </c>
      <c r="N30" s="3">
        <v>37.089351186994399</v>
      </c>
    </row>
    <row r="31" spans="2:14" x14ac:dyDescent="0.25">
      <c r="B31" s="4">
        <v>1.2685671059880399</v>
      </c>
      <c r="C31" s="4">
        <v>0.38329990200872999</v>
      </c>
      <c r="D31" s="4">
        <v>0.108114125003339</v>
      </c>
      <c r="E31" s="3">
        <v>2.1252766789984801</v>
      </c>
      <c r="F31" s="4">
        <v>1.91657928400672</v>
      </c>
      <c r="G31" s="3">
        <v>273.06947292201198</v>
      </c>
      <c r="H31" s="4">
        <v>0.221207374997902</v>
      </c>
      <c r="I31" s="4">
        <v>24.178876562000301</v>
      </c>
      <c r="J31" s="4">
        <v>12.343569025018899</v>
      </c>
      <c r="K31" s="3">
        <v>3.09657662699464</v>
      </c>
      <c r="L31" s="5">
        <v>17.445309175993302</v>
      </c>
      <c r="M31" s="4">
        <v>2.0913811280042802</v>
      </c>
      <c r="N31" s="3">
        <v>36.976395771984201</v>
      </c>
    </row>
    <row r="32" spans="2:14" x14ac:dyDescent="0.25">
      <c r="B32" s="4">
        <v>1.76033422800537</v>
      </c>
      <c r="C32" s="4">
        <v>0.391785120998974</v>
      </c>
      <c r="D32" s="4">
        <v>0.106452353997156</v>
      </c>
      <c r="E32" s="3">
        <v>2.0801010889990699</v>
      </c>
      <c r="F32" s="4">
        <v>1.8581756229977999</v>
      </c>
      <c r="G32" s="3">
        <v>272.64230613602501</v>
      </c>
      <c r="H32" s="4">
        <v>0.22741885400319001</v>
      </c>
      <c r="I32" s="4">
        <v>23.2164988520089</v>
      </c>
      <c r="J32" s="4">
        <v>11.010965821013</v>
      </c>
      <c r="K32" s="3">
        <v>3.0573471579991698</v>
      </c>
      <c r="L32" s="5">
        <v>17.447284939989899</v>
      </c>
      <c r="M32" s="4">
        <v>2.1672331340087099</v>
      </c>
      <c r="N32" s="3">
        <v>37.131362575018997</v>
      </c>
    </row>
    <row r="33" spans="2:14" x14ac:dyDescent="0.25">
      <c r="B33" s="4">
        <v>2.7571373399987298</v>
      </c>
      <c r="C33" s="4">
        <v>0.383699529003934</v>
      </c>
      <c r="D33" s="4">
        <v>0.11002772700157901</v>
      </c>
      <c r="E33" s="3">
        <v>2.1309018150059198</v>
      </c>
      <c r="F33" s="4">
        <v>1.92047425100463</v>
      </c>
      <c r="G33" s="3">
        <v>272.166773583012</v>
      </c>
      <c r="H33" s="4">
        <v>0.22397715899569401</v>
      </c>
      <c r="I33" s="4">
        <v>23.418408162004098</v>
      </c>
      <c r="J33" s="4">
        <v>8.5442930569988604</v>
      </c>
      <c r="K33" s="3">
        <v>2.96828917899983</v>
      </c>
      <c r="L33" s="5">
        <v>17.3946167899994</v>
      </c>
      <c r="M33" s="4">
        <v>2.1097729339962799</v>
      </c>
      <c r="N33" s="3">
        <v>37.458225260983397</v>
      </c>
    </row>
    <row r="34" spans="2:14" x14ac:dyDescent="0.25">
      <c r="B34" s="4">
        <v>1.54811770099331</v>
      </c>
      <c r="C34" s="4">
        <v>0.39738835400203198</v>
      </c>
      <c r="D34" s="4">
        <v>0.10874520600191299</v>
      </c>
      <c r="E34" s="3">
        <v>2.0985981730045702</v>
      </c>
      <c r="F34" s="4">
        <v>1.8438437010045099</v>
      </c>
      <c r="G34" s="3">
        <v>272.47557532400202</v>
      </c>
      <c r="H34" s="4">
        <v>0.225108461992931</v>
      </c>
      <c r="I34" s="4">
        <v>22.6163316989986</v>
      </c>
      <c r="J34" s="4">
        <v>8.9991262459952797</v>
      </c>
      <c r="K34" s="3">
        <v>2.9471565209969399</v>
      </c>
      <c r="L34" s="5">
        <v>17.754768874990901</v>
      </c>
      <c r="M34" s="4">
        <v>2.09814628801541</v>
      </c>
      <c r="N34" s="3">
        <v>37.184426811989397</v>
      </c>
    </row>
    <row r="35" spans="2:14" x14ac:dyDescent="0.25">
      <c r="B35" s="4">
        <v>1.5380891389941</v>
      </c>
      <c r="C35" s="4">
        <v>0.385129248999874</v>
      </c>
      <c r="D35" s="4">
        <v>0.106235433995607</v>
      </c>
      <c r="E35" s="3">
        <v>2.15635561500675</v>
      </c>
      <c r="F35" s="4">
        <v>1.9197643420047801</v>
      </c>
      <c r="G35" s="3">
        <v>272.11284202799999</v>
      </c>
      <c r="H35" s="4">
        <v>0.22209770600602399</v>
      </c>
      <c r="I35" s="4">
        <v>23.0346131030091</v>
      </c>
      <c r="J35" s="4">
        <v>10.258979874983099</v>
      </c>
      <c r="K35" s="3">
        <v>2.8706675439898302</v>
      </c>
      <c r="L35" s="5">
        <v>17.2647166230017</v>
      </c>
      <c r="M35" s="4">
        <v>2.1315699550032101</v>
      </c>
      <c r="N35" s="3">
        <v>36.822284972004098</v>
      </c>
    </row>
    <row r="36" spans="2:14" x14ac:dyDescent="0.25">
      <c r="B36" s="4">
        <v>2.7917724760045499</v>
      </c>
      <c r="C36" s="4">
        <v>0.38218970199523</v>
      </c>
      <c r="D36" s="4">
        <v>0.10944890700920901</v>
      </c>
      <c r="E36" s="3">
        <v>2.2120580400078298</v>
      </c>
      <c r="F36" s="4">
        <v>1.9349938679952099</v>
      </c>
      <c r="G36" s="3">
        <v>272.32578104900301</v>
      </c>
      <c r="H36" s="4">
        <v>0.22332192299654699</v>
      </c>
      <c r="I36" s="4">
        <v>22.427640786991098</v>
      </c>
      <c r="J36" s="4">
        <v>9.5375914720061701</v>
      </c>
      <c r="K36" s="3">
        <v>2.9963435389945499</v>
      </c>
      <c r="L36" s="5">
        <v>17.6186619600048</v>
      </c>
      <c r="M36" s="4">
        <v>2.1388820610009098</v>
      </c>
      <c r="N36" s="3">
        <v>36.902758229</v>
      </c>
    </row>
    <row r="37" spans="2:14" x14ac:dyDescent="0.25">
      <c r="B37" s="4">
        <v>1.26805612799944</v>
      </c>
      <c r="C37" s="4">
        <v>0.36887639500491698</v>
      </c>
      <c r="D37" s="4">
        <v>0.10908513900358199</v>
      </c>
      <c r="E37" s="3">
        <v>2.1379709119937602</v>
      </c>
      <c r="F37" s="4">
        <v>2.0194246879982498</v>
      </c>
      <c r="G37" s="3">
        <v>271.99706064900897</v>
      </c>
      <c r="H37" s="4">
        <v>0.228560898001887</v>
      </c>
      <c r="I37" s="4">
        <v>23.148245343007101</v>
      </c>
      <c r="J37" s="4">
        <v>9.0335722029849403</v>
      </c>
      <c r="K37" s="3">
        <v>2.9782371120090798</v>
      </c>
      <c r="L37" s="5">
        <v>17.286105325008901</v>
      </c>
      <c r="M37" s="4">
        <v>2.21341535402461</v>
      </c>
      <c r="N37" s="3">
        <v>36.708152834995403</v>
      </c>
    </row>
    <row r="38" spans="2:14" x14ac:dyDescent="0.25">
      <c r="B38" s="4">
        <v>1.30317501199897</v>
      </c>
      <c r="C38" s="4">
        <v>0.38131746700673802</v>
      </c>
      <c r="D38" s="4">
        <v>0.10877821600297399</v>
      </c>
      <c r="E38" s="3">
        <v>2.13191534300858</v>
      </c>
      <c r="F38" s="4">
        <v>1.88360804900003</v>
      </c>
      <c r="G38" s="3">
        <v>272.49493097199502</v>
      </c>
      <c r="H38" s="4">
        <v>0.2278274900018</v>
      </c>
      <c r="I38" s="4">
        <v>23.8564559570077</v>
      </c>
      <c r="J38" s="4">
        <v>9.1716142729856003</v>
      </c>
      <c r="K38" s="3">
        <v>3.0723296539945202</v>
      </c>
      <c r="L38" s="5">
        <v>17.434044573019399</v>
      </c>
      <c r="M38" s="4">
        <v>2.1415844559960502</v>
      </c>
      <c r="N38" s="3">
        <v>37.0919081789907</v>
      </c>
    </row>
    <row r="39" spans="2:14" x14ac:dyDescent="0.25">
      <c r="B39" s="4">
        <v>1.5308724240021501</v>
      </c>
      <c r="C39" s="4">
        <v>0.385134643001947</v>
      </c>
      <c r="D39" s="4">
        <v>0.108439937001094</v>
      </c>
      <c r="E39" s="3">
        <v>2.10931627299578</v>
      </c>
      <c r="F39" s="4">
        <v>1.90888593200361</v>
      </c>
      <c r="G39" s="3">
        <v>271.67354043698202</v>
      </c>
      <c r="H39" s="4">
        <v>0.22647706000134299</v>
      </c>
      <c r="I39" s="4">
        <v>23.097862308000899</v>
      </c>
      <c r="J39" s="4">
        <v>9.8917073880147601</v>
      </c>
      <c r="K39" s="3">
        <v>3.0963984639965898</v>
      </c>
      <c r="L39" s="5">
        <v>17.569212578993699</v>
      </c>
      <c r="M39" s="4">
        <v>2.1560968050034699</v>
      </c>
      <c r="N39" s="3">
        <v>37.288941281993097</v>
      </c>
    </row>
    <row r="40" spans="2:14" x14ac:dyDescent="0.25">
      <c r="B40" s="4">
        <v>1.53936448400781</v>
      </c>
      <c r="C40" s="4">
        <v>0.38545975100714702</v>
      </c>
      <c r="D40" s="4">
        <v>0.108430876993224</v>
      </c>
      <c r="E40" s="3">
        <v>2.09961500599456</v>
      </c>
      <c r="F40" s="4">
        <v>1.8980708790040799</v>
      </c>
      <c r="G40" s="3">
        <v>271.397919658018</v>
      </c>
      <c r="H40" s="4">
        <v>0.22141245398961401</v>
      </c>
      <c r="I40" s="4">
        <v>23.088103312998999</v>
      </c>
      <c r="J40" s="4">
        <v>8.6310390439757594</v>
      </c>
      <c r="K40" s="3">
        <v>3.1002091339905702</v>
      </c>
      <c r="L40" s="5">
        <v>17.649254290998201</v>
      </c>
      <c r="M40" s="4">
        <v>2.1505254239891598</v>
      </c>
      <c r="N40" s="3">
        <v>36.738713492988602</v>
      </c>
    </row>
    <row r="41" spans="2:14" x14ac:dyDescent="0.25">
      <c r="B41" s="4">
        <v>1.5533771170012101</v>
      </c>
      <c r="C41" s="4">
        <v>0.38187617099902099</v>
      </c>
      <c r="D41" s="4">
        <v>0.109827767999377</v>
      </c>
      <c r="E41" s="3">
        <v>2.07432936401164</v>
      </c>
      <c r="F41" s="4">
        <v>1.94743151699367</v>
      </c>
      <c r="G41" s="3">
        <v>271.94159857300099</v>
      </c>
      <c r="H41" s="4">
        <v>0.22412254400842299</v>
      </c>
      <c r="I41" s="4">
        <v>22.972217720991399</v>
      </c>
      <c r="J41" s="4">
        <v>8.7551129429775703</v>
      </c>
      <c r="K41" s="3">
        <v>3.21263284300221</v>
      </c>
      <c r="L41" s="5">
        <v>17.274154811020701</v>
      </c>
      <c r="M41" s="4">
        <v>2.1291717540007</v>
      </c>
      <c r="N41" s="3">
        <v>37.158259001007501</v>
      </c>
    </row>
    <row r="42" spans="2:14" x14ac:dyDescent="0.25">
      <c r="B42" s="4">
        <v>1.5190676760102999</v>
      </c>
      <c r="C42" s="4">
        <v>0.387363193993223</v>
      </c>
      <c r="D42" s="4">
        <v>0.105703456996707</v>
      </c>
      <c r="E42" s="3">
        <v>2.0534235330123898</v>
      </c>
      <c r="F42" s="4">
        <v>1.8547802690009101</v>
      </c>
      <c r="G42" s="3">
        <v>272.46682797299502</v>
      </c>
      <c r="H42" s="4">
        <v>0.22360118299548001</v>
      </c>
      <c r="I42" s="4">
        <v>22.688164904990099</v>
      </c>
      <c r="J42" s="4">
        <v>9.7266786539985297</v>
      </c>
      <c r="K42" s="3">
        <v>3.1677654890081599</v>
      </c>
      <c r="L42" s="5">
        <v>17.468844093004002</v>
      </c>
      <c r="M42" s="4">
        <v>2.0890270390082102</v>
      </c>
      <c r="N42" s="3">
        <v>37.036286399990701</v>
      </c>
    </row>
    <row r="43" spans="2:14" x14ac:dyDescent="0.25">
      <c r="B43" s="4">
        <v>3.0340990770055201</v>
      </c>
      <c r="C43" s="4">
        <v>0.39194726498681098</v>
      </c>
      <c r="D43" s="4">
        <v>0.10862905299290999</v>
      </c>
      <c r="E43" s="3">
        <v>2.1766853750013899</v>
      </c>
      <c r="F43" s="4">
        <v>2.0071476229932101</v>
      </c>
      <c r="G43" s="3">
        <v>272.55875887698397</v>
      </c>
      <c r="H43" s="4">
        <v>0.22407739999471199</v>
      </c>
      <c r="I43" s="4">
        <v>23.061475623995602</v>
      </c>
      <c r="J43" s="4">
        <v>10.315086071001099</v>
      </c>
      <c r="K43" s="3">
        <v>3.0609744180110199</v>
      </c>
      <c r="L43" s="5">
        <v>17.517560862994198</v>
      </c>
      <c r="M43" s="4">
        <v>2.1009076490008698</v>
      </c>
      <c r="N43" s="3">
        <v>36.825733834004403</v>
      </c>
    </row>
    <row r="44" spans="2:14" x14ac:dyDescent="0.25">
      <c r="B44" s="4">
        <v>2.2917753799992999</v>
      </c>
      <c r="C44" s="4">
        <v>0.398520592003478</v>
      </c>
      <c r="D44" s="4">
        <v>0.105467590998159</v>
      </c>
      <c r="E44" s="3">
        <v>2.1673144520027501</v>
      </c>
      <c r="F44" s="4">
        <v>1.8271032180055</v>
      </c>
      <c r="G44" s="3">
        <v>272.53346307101299</v>
      </c>
      <c r="H44" s="4">
        <v>0.22297068500483799</v>
      </c>
      <c r="I44" s="4">
        <v>22.904354754995399</v>
      </c>
      <c r="J44" s="4">
        <v>8.7706113400054093</v>
      </c>
      <c r="K44" s="3">
        <v>2.90575930199702</v>
      </c>
      <c r="L44" s="5">
        <v>17.545856862998299</v>
      </c>
      <c r="M44" s="4">
        <v>2.1458442060102199</v>
      </c>
      <c r="N44" s="3">
        <v>36.827185262984102</v>
      </c>
    </row>
    <row r="45" spans="2:14" x14ac:dyDescent="0.25">
      <c r="B45" s="4">
        <v>2.29169296100735</v>
      </c>
      <c r="C45" s="4">
        <v>0.38518589601153502</v>
      </c>
      <c r="D45" s="4">
        <v>0.108333165990188</v>
      </c>
      <c r="E45" s="3">
        <v>2.18262420600513</v>
      </c>
      <c r="F45" s="4">
        <v>1.95170324300124</v>
      </c>
      <c r="G45" s="3">
        <v>272.32857254799399</v>
      </c>
      <c r="H45" s="4">
        <v>0.22608327100169801</v>
      </c>
      <c r="I45" s="4">
        <v>23.454749750002499</v>
      </c>
      <c r="J45" s="4">
        <v>8.3446680530032609</v>
      </c>
      <c r="K45" s="3">
        <v>2.94591900499654</v>
      </c>
      <c r="L45" s="5">
        <v>17.243702328996701</v>
      </c>
      <c r="M45" s="4">
        <v>2.1548908120021202</v>
      </c>
      <c r="N45" s="3">
        <v>36.703457886003797</v>
      </c>
    </row>
    <row r="46" spans="2:14" x14ac:dyDescent="0.25">
      <c r="B46" s="4">
        <v>4.0293950189952703</v>
      </c>
      <c r="C46" s="4">
        <v>0.38395636698987801</v>
      </c>
      <c r="D46" s="4">
        <v>0.105155241006286</v>
      </c>
      <c r="E46" s="3">
        <v>2.0856883050000699</v>
      </c>
      <c r="F46" s="4">
        <v>1.8371977969945801</v>
      </c>
      <c r="G46" s="3">
        <v>272.45782074899699</v>
      </c>
      <c r="H46" s="4">
        <v>0.222693700008676</v>
      </c>
      <c r="I46" s="4">
        <v>22.605804867998799</v>
      </c>
      <c r="J46" s="4">
        <v>7.6991213360161002</v>
      </c>
      <c r="K46" s="3">
        <v>3.0079410979960799</v>
      </c>
      <c r="L46" s="5">
        <v>17.4901437399967</v>
      </c>
      <c r="M46" s="4">
        <v>2.1673866469936902</v>
      </c>
      <c r="N46" s="3">
        <v>37.097723933024099</v>
      </c>
    </row>
    <row r="47" spans="2:14" x14ac:dyDescent="0.25">
      <c r="B47" s="4">
        <v>3.0205706950073301</v>
      </c>
      <c r="C47" s="4">
        <v>0.38071409100666598</v>
      </c>
      <c r="D47" s="4">
        <v>0.108103730992297</v>
      </c>
      <c r="E47" s="3">
        <v>2.1441758700093398</v>
      </c>
      <c r="F47" s="4">
        <v>1.8644641399878299</v>
      </c>
      <c r="G47" s="3">
        <v>272.77461109199697</v>
      </c>
      <c r="H47" s="4">
        <v>0.22580319199187199</v>
      </c>
      <c r="I47" s="4">
        <v>23.249882036994599</v>
      </c>
      <c r="J47" s="4">
        <v>8.4044874899846</v>
      </c>
      <c r="K47" s="3">
        <v>3.0723381360003201</v>
      </c>
      <c r="L47" s="5">
        <v>17.530694651009899</v>
      </c>
      <c r="M47" s="4">
        <v>2.0571827900130302</v>
      </c>
      <c r="N47" s="3">
        <v>37.249832964007503</v>
      </c>
    </row>
    <row r="48" spans="2:14" x14ac:dyDescent="0.25">
      <c r="B48" s="4">
        <v>2.03237023700785</v>
      </c>
      <c r="C48" s="4">
        <v>0.383038229992962</v>
      </c>
      <c r="D48" s="4">
        <v>0.10857298999326299</v>
      </c>
      <c r="E48" s="3">
        <v>2.1305772960040401</v>
      </c>
      <c r="F48" s="4">
        <v>1.8946614659944301</v>
      </c>
      <c r="G48" s="3">
        <v>273.19137963501203</v>
      </c>
      <c r="H48" s="4">
        <v>0.22720389699679799</v>
      </c>
      <c r="I48" s="4">
        <v>22.9002468710095</v>
      </c>
      <c r="J48" s="4">
        <v>8.4057663329876906</v>
      </c>
      <c r="K48" s="3">
        <v>3.0989526610064702</v>
      </c>
      <c r="L48" s="5">
        <v>17.028492093988401</v>
      </c>
      <c r="M48" s="4">
        <v>2.1594848259992401</v>
      </c>
      <c r="N48" s="3">
        <v>37.362258890992898</v>
      </c>
    </row>
    <row r="49" spans="2:14" x14ac:dyDescent="0.25">
      <c r="B49" s="4">
        <v>1.52488664499833</v>
      </c>
      <c r="C49" s="4">
        <v>0.38355691600008801</v>
      </c>
      <c r="D49" s="4">
        <v>0.112092048002523</v>
      </c>
      <c r="E49" s="3">
        <v>2.0962529279931901</v>
      </c>
      <c r="F49" s="4">
        <v>1.9038698060030499</v>
      </c>
      <c r="G49" s="3">
        <v>271.99335244699603</v>
      </c>
      <c r="H49" s="4">
        <v>0.22877407299529201</v>
      </c>
      <c r="I49" s="4">
        <v>23.746384076002801</v>
      </c>
      <c r="J49" s="4">
        <v>8.5767898570047691</v>
      </c>
      <c r="K49" s="3">
        <v>3.17106699400756</v>
      </c>
      <c r="L49" s="5">
        <v>17.474661883985299</v>
      </c>
      <c r="M49" s="4">
        <v>2.1605290159932302</v>
      </c>
      <c r="N49" s="3">
        <v>36.760481381002997</v>
      </c>
    </row>
    <row r="50" spans="2:14" x14ac:dyDescent="0.25">
      <c r="B50" s="4">
        <v>1.2817970189935199</v>
      </c>
      <c r="C50" s="4">
        <v>0.381118003002484</v>
      </c>
      <c r="D50" s="4">
        <v>0.109291855987976</v>
      </c>
      <c r="E50" s="3">
        <v>2.12164322601165</v>
      </c>
      <c r="F50" s="4">
        <v>1.90871508300188</v>
      </c>
      <c r="G50" s="3">
        <v>272.00370447299701</v>
      </c>
      <c r="H50" s="4">
        <v>0.221068513012141</v>
      </c>
      <c r="I50" s="4">
        <v>23.1190602389979</v>
      </c>
      <c r="J50" s="4">
        <v>8.3458301270147697</v>
      </c>
      <c r="K50" s="3">
        <v>3.1336380099965</v>
      </c>
      <c r="L50" s="5">
        <v>17.685438849992298</v>
      </c>
      <c r="M50" s="4">
        <v>2.1279334939899801</v>
      </c>
      <c r="N50" s="3">
        <v>37.1972938500111</v>
      </c>
    </row>
    <row r="51" spans="2:14" x14ac:dyDescent="0.25">
      <c r="B51" s="4">
        <v>1.53891434000979</v>
      </c>
      <c r="C51" s="4">
        <v>0.39732851200096703</v>
      </c>
      <c r="D51" s="4">
        <v>0.109800270991399</v>
      </c>
      <c r="E51" s="3">
        <v>2.0492623410100301</v>
      </c>
      <c r="F51" s="4">
        <v>1.9771783220057799</v>
      </c>
      <c r="G51" s="3">
        <v>272.05932674798498</v>
      </c>
      <c r="H51" s="4">
        <v>0.22020909999264399</v>
      </c>
      <c r="I51" s="4">
        <v>22.937632789995401</v>
      </c>
      <c r="J51" s="4">
        <v>8.0080406430060904</v>
      </c>
      <c r="K51" s="3">
        <v>2.9867827380076002</v>
      </c>
      <c r="L51" s="5">
        <v>17.190146567998401</v>
      </c>
      <c r="M51" s="4">
        <v>2.21266923300572</v>
      </c>
      <c r="N51" s="3">
        <v>37.431669432000398</v>
      </c>
    </row>
    <row r="52" spans="2:14" x14ac:dyDescent="0.25">
      <c r="B52" s="4">
        <v>2.2718681950063901</v>
      </c>
      <c r="C52" s="4">
        <v>0.38020897499518402</v>
      </c>
      <c r="D52" s="4">
        <v>0.104304762993706</v>
      </c>
      <c r="E52" s="3">
        <v>2.0716350700095001</v>
      </c>
      <c r="F52" s="4">
        <v>1.88381848200515</v>
      </c>
      <c r="G52" s="3">
        <v>272.03482630100899</v>
      </c>
      <c r="H52" s="4">
        <v>0.22300428200105599</v>
      </c>
      <c r="I52" s="4">
        <v>23.474766876010101</v>
      </c>
      <c r="J52" s="4">
        <v>8.0865452730213292</v>
      </c>
      <c r="K52" s="3">
        <v>3.0801184989977601</v>
      </c>
      <c r="L52" s="5">
        <v>17.6611325520207</v>
      </c>
      <c r="M52" s="4">
        <v>2.1509435079933601</v>
      </c>
      <c r="N52" s="3">
        <v>36.898569490993303</v>
      </c>
    </row>
    <row r="53" spans="2:14" x14ac:dyDescent="0.25">
      <c r="B53" s="4">
        <v>1.3253328540013101</v>
      </c>
      <c r="C53" s="4">
        <v>0.39445008900656803</v>
      </c>
      <c r="D53" s="4">
        <v>0.105903577990829</v>
      </c>
      <c r="E53" s="3">
        <v>2.1061481739889101</v>
      </c>
      <c r="F53" s="4">
        <v>1.9378088200028201</v>
      </c>
      <c r="G53" s="3">
        <v>271.275923238019</v>
      </c>
      <c r="H53" s="4">
        <v>0.223642487006145</v>
      </c>
      <c r="I53" s="4">
        <v>22.937560942009402</v>
      </c>
      <c r="J53" s="4">
        <v>9.6741267250035801</v>
      </c>
      <c r="K53" s="3">
        <v>3.0709038499917298</v>
      </c>
      <c r="L53" s="5">
        <v>17.377937962010002</v>
      </c>
      <c r="M53" s="4">
        <v>2.12182393498369</v>
      </c>
      <c r="N53" s="3">
        <v>37.295089063001797</v>
      </c>
    </row>
    <row r="54" spans="2:14" x14ac:dyDescent="0.25">
      <c r="B54" s="4">
        <v>1.5445145150006201</v>
      </c>
      <c r="C54" s="4">
        <v>0.38786300300853299</v>
      </c>
      <c r="D54" s="4">
        <v>0.10864031399250899</v>
      </c>
      <c r="E54" s="3">
        <v>2.1155332889902598</v>
      </c>
      <c r="F54" s="4">
        <v>1.8960152810032</v>
      </c>
      <c r="G54" s="3">
        <v>271.66404702700601</v>
      </c>
      <c r="H54" s="4">
        <v>0.22699902200838501</v>
      </c>
      <c r="I54" s="4">
        <v>22.9322304399975</v>
      </c>
      <c r="J54" s="4">
        <v>8.5853552150074393</v>
      </c>
      <c r="K54" s="3">
        <v>3.0306198870093701</v>
      </c>
      <c r="L54" s="5">
        <v>17.7845654250122</v>
      </c>
      <c r="M54" s="4">
        <v>2.2933045969984902</v>
      </c>
      <c r="N54" s="3">
        <v>37.449117170006502</v>
      </c>
    </row>
    <row r="55" spans="2:14" x14ac:dyDescent="0.25">
      <c r="B55" s="4">
        <v>2.2627367710083401</v>
      </c>
      <c r="C55" s="4">
        <v>0.39127746700250998</v>
      </c>
      <c r="D55" s="4">
        <v>0.10674350899353099</v>
      </c>
      <c r="E55" s="3">
        <v>2.1446661129884799</v>
      </c>
      <c r="F55" s="4">
        <v>1.9147087599994801</v>
      </c>
      <c r="G55" s="3">
        <v>271.84962233001698</v>
      </c>
      <c r="H55" s="4">
        <v>0.22455903299851299</v>
      </c>
      <c r="I55" s="4">
        <v>22.975675298002798</v>
      </c>
      <c r="J55" s="4">
        <v>8.0544574139930702</v>
      </c>
      <c r="K55" s="3">
        <v>3.1057721820106901</v>
      </c>
      <c r="L55" s="5">
        <v>16.986378084984601</v>
      </c>
      <c r="M55" s="4">
        <v>2.0978235660004398</v>
      </c>
      <c r="N55" s="3">
        <v>37.044362118001999</v>
      </c>
    </row>
    <row r="56" spans="2:14" x14ac:dyDescent="0.25">
      <c r="B56" s="4">
        <v>4.2775845729920503</v>
      </c>
      <c r="C56" s="4">
        <v>0.39825513800314999</v>
      </c>
      <c r="D56" s="4">
        <v>0.10741333299665699</v>
      </c>
      <c r="E56" s="3">
        <v>2.1184286659990899</v>
      </c>
      <c r="F56" s="4">
        <v>1.9096260509977501</v>
      </c>
      <c r="G56" s="3">
        <v>271.81198897599802</v>
      </c>
      <c r="H56" s="4">
        <v>0.22242234900477301</v>
      </c>
      <c r="I56" s="4">
        <v>22.653072779998102</v>
      </c>
      <c r="J56" s="4">
        <v>8.5909304309752699</v>
      </c>
      <c r="K56" s="3">
        <v>2.9257760109903699</v>
      </c>
      <c r="L56" s="5">
        <v>17.602402838994699</v>
      </c>
      <c r="M56" s="4">
        <v>2.0780195409897702</v>
      </c>
      <c r="N56" s="3">
        <v>37.076438293006497</v>
      </c>
    </row>
    <row r="57" spans="2:14" x14ac:dyDescent="0.25">
      <c r="B57" s="4">
        <v>3.0457454050047001</v>
      </c>
      <c r="C57" s="4">
        <v>0.39493619601125801</v>
      </c>
      <c r="D57" s="4">
        <v>0.106128782004816</v>
      </c>
      <c r="E57" s="3">
        <v>2.1074737000017101</v>
      </c>
      <c r="F57" s="4">
        <v>2.0023545360017998</v>
      </c>
      <c r="G57" s="3">
        <v>271.96841741900403</v>
      </c>
      <c r="H57" s="4">
        <v>0.22586731299816101</v>
      </c>
      <c r="I57" s="4">
        <v>22.505235304008199</v>
      </c>
      <c r="J57" s="4">
        <v>9.6409276770136696</v>
      </c>
      <c r="K57" s="3">
        <v>3.0564231150055998</v>
      </c>
      <c r="L57" s="5">
        <v>17.1947053790208</v>
      </c>
      <c r="M57" s="4">
        <v>2.1234734549943801</v>
      </c>
      <c r="N57" s="3">
        <v>37.0867585420201</v>
      </c>
    </row>
    <row r="58" spans="2:14" x14ac:dyDescent="0.25">
      <c r="B58" s="4">
        <v>1.53331757200066</v>
      </c>
      <c r="C58" s="4">
        <v>0.38991995499236498</v>
      </c>
      <c r="D58" s="4">
        <v>0.105092802012222</v>
      </c>
      <c r="E58" s="3">
        <v>2.1498958339943699</v>
      </c>
      <c r="F58" s="4">
        <v>1.94131803100754</v>
      </c>
      <c r="G58" s="3">
        <v>272.31794790297801</v>
      </c>
      <c r="H58" s="4">
        <v>0.225023692997638</v>
      </c>
      <c r="I58" s="4">
        <v>23.093840251996799</v>
      </c>
      <c r="J58" s="4">
        <v>8.1738905639795103</v>
      </c>
      <c r="K58" s="3">
        <v>3.1955796800029899</v>
      </c>
      <c r="L58" s="5">
        <v>17.167634067998701</v>
      </c>
      <c r="M58" s="4">
        <v>2.1180816690030002</v>
      </c>
      <c r="N58" s="3">
        <v>36.875775940017697</v>
      </c>
    </row>
    <row r="59" spans="2:14" x14ac:dyDescent="0.25">
      <c r="B59" s="4">
        <v>4.5344799900049102</v>
      </c>
      <c r="C59" s="4">
        <v>0.38588811800582301</v>
      </c>
      <c r="D59" s="4">
        <v>0.10844993100909001</v>
      </c>
      <c r="E59" s="3">
        <v>2.18206206600007</v>
      </c>
      <c r="F59" s="4">
        <v>1.9334225370112099</v>
      </c>
      <c r="G59" s="3">
        <v>271.82794459399798</v>
      </c>
      <c r="H59" s="4">
        <v>0.22249152300355399</v>
      </c>
      <c r="I59" s="4">
        <v>23.323772828996798</v>
      </c>
      <c r="J59" s="4">
        <v>8.1689868609828409</v>
      </c>
      <c r="K59" s="3">
        <v>2.9624413980054598</v>
      </c>
      <c r="L59" s="5">
        <v>17.499448173009998</v>
      </c>
      <c r="M59" s="4">
        <v>2.18125346198212</v>
      </c>
      <c r="N59" s="3">
        <v>37.3949357359961</v>
      </c>
    </row>
    <row r="60" spans="2:14" x14ac:dyDescent="0.25">
      <c r="B60" s="4">
        <v>2.8059232350060399</v>
      </c>
      <c r="C60" s="4">
        <v>0.40064852600335099</v>
      </c>
      <c r="D60" s="4">
        <v>0.10842231400602</v>
      </c>
      <c r="E60" s="3">
        <v>2.1036359930003501</v>
      </c>
      <c r="F60" s="4">
        <v>1.91202289599459</v>
      </c>
      <c r="G60" s="3">
        <v>272.468124744016</v>
      </c>
      <c r="H60" s="4">
        <v>0.22682998000527699</v>
      </c>
      <c r="I60" s="4">
        <v>22.584198085998601</v>
      </c>
      <c r="J60" s="4">
        <v>8.0505473979865201</v>
      </c>
      <c r="K60" s="3">
        <v>3.0654327630036202</v>
      </c>
      <c r="L60" s="5">
        <v>17.387213959998899</v>
      </c>
      <c r="M60" s="4">
        <v>2.1490648140024802</v>
      </c>
      <c r="N60" s="3">
        <v>37.427257470990298</v>
      </c>
    </row>
    <row r="61" spans="2:14" x14ac:dyDescent="0.25">
      <c r="B61" s="4">
        <v>2.0433180209947701</v>
      </c>
      <c r="C61" s="4">
        <v>0.408211455011041</v>
      </c>
      <c r="D61" s="4">
        <v>0.105331851998926</v>
      </c>
      <c r="E61" s="3">
        <v>2.0993402099993501</v>
      </c>
      <c r="F61" s="4">
        <v>1.8451378870085999</v>
      </c>
      <c r="G61" s="3">
        <v>272.65549781700201</v>
      </c>
      <c r="H61" s="4">
        <v>0.224125342007027</v>
      </c>
      <c r="I61" s="4">
        <v>22.769191195009601</v>
      </c>
      <c r="J61" s="4">
        <v>8.95714730399777</v>
      </c>
      <c r="K61" s="3">
        <v>3.0294022409943802</v>
      </c>
      <c r="L61" s="5">
        <v>17.5761774819984</v>
      </c>
      <c r="M61" s="4">
        <v>2.1201784280128702</v>
      </c>
      <c r="N61" s="3">
        <v>37.557877423998399</v>
      </c>
    </row>
    <row r="62" spans="2:14" x14ac:dyDescent="0.25">
      <c r="B62" s="4">
        <v>1.5286430150008501</v>
      </c>
      <c r="C62" s="4">
        <v>0.39512463999562802</v>
      </c>
      <c r="D62" s="4">
        <v>0.104991949003306</v>
      </c>
      <c r="E62" s="3">
        <v>2.1055042389925802</v>
      </c>
      <c r="F62" s="4">
        <v>2.05794231100298</v>
      </c>
      <c r="G62" s="3">
        <v>272.056831928988</v>
      </c>
      <c r="H62" s="4">
        <v>0.22527599000022699</v>
      </c>
      <c r="I62" s="4">
        <v>23.395611205996801</v>
      </c>
      <c r="J62" s="4">
        <v>8.3999010350089502</v>
      </c>
      <c r="K62" s="3">
        <v>3.1209917679952901</v>
      </c>
      <c r="L62" s="5">
        <v>17.453892293997299</v>
      </c>
      <c r="M62" s="4">
        <v>2.1506321970082301</v>
      </c>
      <c r="N62" s="3">
        <v>36.669867780001297</v>
      </c>
    </row>
    <row r="63" spans="2:14" x14ac:dyDescent="0.25">
      <c r="B63" s="4">
        <v>3.7767330750066299</v>
      </c>
      <c r="C63" s="4">
        <v>0.39689479199296301</v>
      </c>
      <c r="D63" s="4">
        <v>0.10571576798975001</v>
      </c>
      <c r="E63" s="3">
        <v>2.0510767800005798</v>
      </c>
      <c r="F63" s="4">
        <v>1.8908834080066299</v>
      </c>
      <c r="G63" s="3">
        <v>272.35274643299601</v>
      </c>
      <c r="H63" s="4">
        <v>0.225010423993808</v>
      </c>
      <c r="I63" s="4">
        <v>23.284921008991599</v>
      </c>
      <c r="J63" s="4">
        <v>10.082089828996599</v>
      </c>
      <c r="K63" s="3">
        <v>2.9792001059977302</v>
      </c>
      <c r="L63" s="5">
        <v>17.6165180569805</v>
      </c>
      <c r="M63" s="4">
        <v>2.09793802499189</v>
      </c>
      <c r="N63" s="3">
        <v>36.792207379010499</v>
      </c>
    </row>
    <row r="64" spans="2:14" x14ac:dyDescent="0.25">
      <c r="B64" s="4">
        <v>2.8034452150022799</v>
      </c>
      <c r="C64" s="4">
        <v>0.38853703199129003</v>
      </c>
      <c r="D64" s="4">
        <v>0.10512073000427299</v>
      </c>
      <c r="E64" s="3">
        <v>2.1011670360021499</v>
      </c>
      <c r="F64" s="4">
        <v>1.85301969599095</v>
      </c>
      <c r="G64" s="3">
        <v>272.27032297302497</v>
      </c>
      <c r="H64" s="4">
        <v>0.227812437995453</v>
      </c>
      <c r="I64" s="4">
        <v>22.782008203997901</v>
      </c>
      <c r="J64" s="4">
        <v>9.1894161749805701</v>
      </c>
      <c r="K64" s="3">
        <v>2.9413852479920002</v>
      </c>
      <c r="L64" s="5">
        <v>16.807460675015999</v>
      </c>
      <c r="M64" s="4">
        <v>2.1509360500203898</v>
      </c>
      <c r="N64" s="3">
        <v>37.438169924978801</v>
      </c>
    </row>
    <row r="65" spans="2:14" x14ac:dyDescent="0.25">
      <c r="B65" s="4">
        <v>2.0375370419933398</v>
      </c>
      <c r="C65" s="4">
        <v>0.37827972498780499</v>
      </c>
      <c r="D65" s="4">
        <v>0.106897135992767</v>
      </c>
      <c r="E65" s="3">
        <v>2.1287354200030602</v>
      </c>
      <c r="F65" s="4">
        <v>1.88851441998849</v>
      </c>
      <c r="G65" s="3">
        <v>272.53065263098603</v>
      </c>
      <c r="H65" s="4">
        <v>0.21785697400628101</v>
      </c>
      <c r="I65" s="4">
        <v>23.090227087988701</v>
      </c>
      <c r="J65" s="4">
        <v>10.423765256011301</v>
      </c>
      <c r="K65" s="3">
        <v>2.97864608700911</v>
      </c>
      <c r="L65" s="5">
        <v>17.536146152997301</v>
      </c>
      <c r="M65" s="4">
        <v>2.1600263589934898</v>
      </c>
      <c r="N65" s="3">
        <v>37.145916385983497</v>
      </c>
    </row>
    <row r="66" spans="2:14" x14ac:dyDescent="0.25">
      <c r="B66" s="4">
        <v>1.5252494830056</v>
      </c>
      <c r="C66" s="4">
        <v>0.39899328100727799</v>
      </c>
      <c r="D66" s="4">
        <v>0.108768015008536</v>
      </c>
      <c r="E66" s="3">
        <v>2.1469244799955001</v>
      </c>
      <c r="F66" s="4">
        <v>2.0492207350034701</v>
      </c>
      <c r="G66" s="3">
        <v>271.92099780897797</v>
      </c>
      <c r="H66" s="4">
        <v>0.22227100600139199</v>
      </c>
      <c r="I66" s="4">
        <v>22.942631470999899</v>
      </c>
      <c r="J66" s="4">
        <v>10.5104539309977</v>
      </c>
      <c r="K66" s="3">
        <v>2.9461379830026999</v>
      </c>
      <c r="L66" s="5">
        <v>17.586605097982101</v>
      </c>
      <c r="M66" s="4">
        <v>2.1740408209734499</v>
      </c>
      <c r="N66" s="3">
        <v>36.859553103015003</v>
      </c>
    </row>
    <row r="67" spans="2:14" x14ac:dyDescent="0.25">
      <c r="B67" s="4">
        <v>1.5977703030075601</v>
      </c>
      <c r="C67" s="4">
        <v>0.389694850993691</v>
      </c>
      <c r="D67" s="4">
        <v>0.107066440992639</v>
      </c>
      <c r="E67" s="3">
        <v>2.1568280610081199</v>
      </c>
      <c r="F67" s="4">
        <v>1.85958880800171</v>
      </c>
      <c r="G67" s="3">
        <v>272.16709564000399</v>
      </c>
      <c r="H67" s="4">
        <v>0.22296693599491799</v>
      </c>
      <c r="I67" s="4">
        <v>23.1237934139935</v>
      </c>
      <c r="J67" s="4">
        <v>55.508719338016803</v>
      </c>
      <c r="K67" s="3">
        <v>2.9378693230100899</v>
      </c>
      <c r="L67" s="5">
        <v>17.3045191800047</v>
      </c>
      <c r="M67" s="4">
        <v>2.1426673340028999</v>
      </c>
      <c r="N67" s="3">
        <v>37.096280421013901</v>
      </c>
    </row>
    <row r="68" spans="2:14" x14ac:dyDescent="0.25">
      <c r="B68" s="4">
        <v>1.5571937819913699</v>
      </c>
      <c r="C68" s="4">
        <v>0.38982883300923199</v>
      </c>
      <c r="D68" s="4">
        <v>0.10784682900703001</v>
      </c>
      <c r="E68" s="3">
        <v>2.1450099619978502</v>
      </c>
      <c r="F68" s="4">
        <v>1.9020550480054199</v>
      </c>
      <c r="G68" s="3">
        <v>271.81962942299998</v>
      </c>
      <c r="H68" s="4">
        <v>0.223329425003612</v>
      </c>
      <c r="I68" s="4">
        <v>23.717795553005999</v>
      </c>
      <c r="J68" s="4">
        <v>61.363376958994102</v>
      </c>
      <c r="K68" s="3">
        <v>2.9911522229958698</v>
      </c>
      <c r="L68" s="5">
        <v>17.590184661006699</v>
      </c>
      <c r="M68" s="4">
        <v>2.1230341870104801</v>
      </c>
      <c r="N68" s="3">
        <v>37.058232519979299</v>
      </c>
    </row>
    <row r="69" spans="2:14" x14ac:dyDescent="0.25">
      <c r="B69" s="4">
        <v>2.2727650059969098</v>
      </c>
      <c r="C69" s="4">
        <v>0.40992172299593199</v>
      </c>
      <c r="D69" s="4">
        <v>0.107294875007937</v>
      </c>
      <c r="E69" s="3">
        <v>2.1361726960021699</v>
      </c>
      <c r="F69" s="4">
        <v>1.97532449199934</v>
      </c>
      <c r="G69" s="3">
        <v>271.39964500898998</v>
      </c>
      <c r="H69" s="4">
        <v>0.22139741499267901</v>
      </c>
      <c r="I69" s="4">
        <v>23.457550284001599</v>
      </c>
      <c r="J69" s="4">
        <v>68.230194849020293</v>
      </c>
      <c r="K69" s="3">
        <v>2.94803119800053</v>
      </c>
      <c r="L69" s="5">
        <v>17.245187983004101</v>
      </c>
      <c r="M69" s="4">
        <v>2.1556776460201901</v>
      </c>
      <c r="N69" s="3">
        <v>37.369157301989603</v>
      </c>
    </row>
    <row r="70" spans="2:14" x14ac:dyDescent="0.25">
      <c r="B70" s="4">
        <v>2.0405498259933599</v>
      </c>
      <c r="C70" s="4">
        <v>0.38828888299758502</v>
      </c>
      <c r="D70" s="4">
        <v>0.107894605986075</v>
      </c>
      <c r="E70" s="3">
        <v>2.1586687840026499</v>
      </c>
      <c r="F70" s="4">
        <v>1.8806458210019601</v>
      </c>
      <c r="G70" s="3">
        <v>271.85884710599203</v>
      </c>
      <c r="H70" s="4">
        <v>0.220583218993851</v>
      </c>
      <c r="I70" s="4">
        <v>23.056151034004799</v>
      </c>
      <c r="J70" s="4">
        <v>84.804583460994706</v>
      </c>
      <c r="K70" s="3">
        <v>2.90832640399457</v>
      </c>
      <c r="L70" s="5">
        <v>17.0455504060082</v>
      </c>
      <c r="M70" s="4">
        <v>2.2212931500107498</v>
      </c>
      <c r="N70" s="3">
        <v>37.345175216003497</v>
      </c>
    </row>
    <row r="71" spans="2:14" x14ac:dyDescent="0.25">
      <c r="B71" s="4">
        <v>1.55054831100278</v>
      </c>
      <c r="C71" s="4">
        <v>0.39328547600598501</v>
      </c>
      <c r="D71" s="4">
        <v>0.11106407600163901</v>
      </c>
      <c r="E71" s="3">
        <v>2.13458846999856</v>
      </c>
      <c r="F71" s="4">
        <v>1.92677193399867</v>
      </c>
      <c r="G71" s="3">
        <v>272.28776786199802</v>
      </c>
      <c r="H71" s="4">
        <v>0.22237413200491499</v>
      </c>
      <c r="I71" s="4">
        <v>22.8451951000024</v>
      </c>
      <c r="J71" s="4">
        <v>82.288774308020905</v>
      </c>
      <c r="K71" s="3">
        <v>3.15791700899717</v>
      </c>
      <c r="L71" s="5">
        <v>17.3454531200113</v>
      </c>
      <c r="M71" s="4">
        <v>2.1133869240002201</v>
      </c>
      <c r="N71" s="3">
        <v>36.751584593992398</v>
      </c>
    </row>
    <row r="72" spans="2:14" x14ac:dyDescent="0.25">
      <c r="B72" s="4">
        <v>1.2813477229938099</v>
      </c>
      <c r="C72" s="4">
        <v>0.378780762010137</v>
      </c>
      <c r="D72" s="4">
        <v>0.111048887003562</v>
      </c>
      <c r="E72" s="3">
        <v>2.0129123219958198</v>
      </c>
      <c r="F72" s="4">
        <v>1.88989201599906</v>
      </c>
      <c r="G72" s="3">
        <v>272.782623556006</v>
      </c>
      <c r="H72" s="4">
        <v>0.22164560000237499</v>
      </c>
      <c r="I72" s="4">
        <v>23.129055229001001</v>
      </c>
      <c r="J72" s="4">
        <v>43.021031026000799</v>
      </c>
      <c r="K72" s="3">
        <v>3.0644471069972399</v>
      </c>
      <c r="L72" s="5">
        <v>17.025708156987001</v>
      </c>
      <c r="M72" s="4">
        <v>2.1143794119998298</v>
      </c>
      <c r="N72" s="3">
        <v>37.240576636017003</v>
      </c>
    </row>
    <row r="73" spans="2:14" x14ac:dyDescent="0.25">
      <c r="B73" s="4">
        <v>2.04511254900717</v>
      </c>
      <c r="C73" s="4">
        <v>0.397278970005572</v>
      </c>
      <c r="D73" s="4">
        <v>0.106929397006751</v>
      </c>
      <c r="E73" s="3">
        <v>2.1194543330057001</v>
      </c>
      <c r="F73" s="4">
        <v>1.9363232680043401</v>
      </c>
      <c r="G73" s="3">
        <v>271.92595418199198</v>
      </c>
      <c r="H73" s="4">
        <v>0.22615802400105101</v>
      </c>
      <c r="I73" s="4">
        <v>23.188603928996599</v>
      </c>
      <c r="J73" s="4">
        <v>82.360738907009306</v>
      </c>
      <c r="K73" s="3">
        <v>3.03528876499331</v>
      </c>
      <c r="L73" s="5">
        <v>17.231966204999399</v>
      </c>
      <c r="M73" s="4">
        <v>2.1450754140096202</v>
      </c>
      <c r="N73" s="3">
        <v>36.932071305986</v>
      </c>
    </row>
    <row r="74" spans="2:14" x14ac:dyDescent="0.25">
      <c r="B74" s="4">
        <v>4.0184208830032704</v>
      </c>
      <c r="C74" s="4">
        <v>0.37893309500941502</v>
      </c>
      <c r="D74" s="4">
        <v>0.11091117298929</v>
      </c>
      <c r="E74" s="3">
        <v>2.0779552070016498</v>
      </c>
      <c r="F74" s="4">
        <v>1.98534624000603</v>
      </c>
      <c r="G74" s="3">
        <v>272.22709586200602</v>
      </c>
      <c r="H74" s="4">
        <v>0.22062942999764301</v>
      </c>
      <c r="I74" s="4">
        <v>23.178516432002599</v>
      </c>
      <c r="J74" s="4">
        <v>58.497305645985698</v>
      </c>
      <c r="K74" s="3">
        <v>2.9795106370002</v>
      </c>
      <c r="L74" s="5">
        <v>17.5105749790091</v>
      </c>
      <c r="M74" s="4">
        <v>2.06921353298821</v>
      </c>
      <c r="N74" s="3">
        <v>37.080523918004403</v>
      </c>
    </row>
    <row r="75" spans="2:14" x14ac:dyDescent="0.25">
      <c r="B75" s="4">
        <v>1.55805835100181</v>
      </c>
      <c r="C75" s="4">
        <v>0.39991942601045499</v>
      </c>
      <c r="D75" s="4">
        <v>0.110248460012371</v>
      </c>
      <c r="E75" s="3">
        <v>2.0500885500077799</v>
      </c>
      <c r="F75" s="4">
        <v>1.83324577800522</v>
      </c>
      <c r="G75" s="3">
        <v>271.95620090101102</v>
      </c>
      <c r="H75" s="4">
        <v>0.22124703400186199</v>
      </c>
      <c r="I75" s="4">
        <v>23.014145555003701</v>
      </c>
      <c r="J75" s="4">
        <v>72.797306413005501</v>
      </c>
      <c r="K75" s="3">
        <v>3.1620986430061699</v>
      </c>
      <c r="L75" s="5">
        <v>17.709403882996401</v>
      </c>
      <c r="M75" s="4">
        <v>2.1648171079868899</v>
      </c>
      <c r="N75" s="3">
        <v>37.1637523419922</v>
      </c>
    </row>
    <row r="76" spans="2:14" x14ac:dyDescent="0.25">
      <c r="B76" s="4">
        <v>2.3004209160135298</v>
      </c>
      <c r="C76" s="4">
        <v>0.391570634004892</v>
      </c>
      <c r="D76" s="4">
        <v>0.105140601008315</v>
      </c>
      <c r="E76" s="3">
        <v>2.1443175960012</v>
      </c>
      <c r="F76" s="4">
        <v>1.8153308030014099</v>
      </c>
      <c r="G76" s="3">
        <v>272.61565443899599</v>
      </c>
      <c r="H76" s="4">
        <v>0.22196431799966301</v>
      </c>
      <c r="I76" s="4">
        <v>22.893306928002801</v>
      </c>
      <c r="J76" s="4">
        <v>43.0751841039746</v>
      </c>
      <c r="K76" s="3">
        <v>3.0812625420075999</v>
      </c>
      <c r="L76" s="5">
        <v>17.1761850590119</v>
      </c>
      <c r="M76" s="4">
        <v>2.1420378719922102</v>
      </c>
      <c r="N76" s="3">
        <v>36.920334600989001</v>
      </c>
    </row>
    <row r="77" spans="2:14" x14ac:dyDescent="0.25">
      <c r="B77" s="4">
        <v>4.3094077639980197</v>
      </c>
      <c r="C77" s="4">
        <v>0.38268219400197201</v>
      </c>
      <c r="D77" s="4">
        <v>0.10801583300053599</v>
      </c>
      <c r="E77" s="3">
        <v>2.13650865199451</v>
      </c>
      <c r="F77" s="4">
        <v>1.9313515249959801</v>
      </c>
      <c r="G77" s="3">
        <v>271.490494511002</v>
      </c>
      <c r="H77" s="4">
        <v>0.22028668501297899</v>
      </c>
      <c r="I77" s="4">
        <v>22.705176967006899</v>
      </c>
      <c r="J77" s="4">
        <v>18.785023069998701</v>
      </c>
      <c r="K77" s="3">
        <v>3.1668930840096401</v>
      </c>
      <c r="L77" s="5">
        <v>17.340082768991099</v>
      </c>
      <c r="M77" s="4">
        <v>2.09437330599757</v>
      </c>
      <c r="N77" s="3">
        <v>36.580094454984597</v>
      </c>
    </row>
    <row r="78" spans="2:14" x14ac:dyDescent="0.25">
      <c r="B78" s="4">
        <v>3.2953500150033501</v>
      </c>
      <c r="C78" s="4">
        <v>0.40768041300179902</v>
      </c>
      <c r="D78" s="4">
        <v>0.10693494099541501</v>
      </c>
      <c r="E78" s="3">
        <v>2.1244653470057502</v>
      </c>
      <c r="F78" s="4">
        <v>2.0349506939965001</v>
      </c>
      <c r="G78" s="3">
        <v>271.55132135699301</v>
      </c>
      <c r="H78" s="4">
        <v>0.222542440009419</v>
      </c>
      <c r="I78" s="4">
        <v>22.993164942003201</v>
      </c>
      <c r="J78" s="4">
        <v>40.559264017007003</v>
      </c>
      <c r="K78" s="3">
        <v>3.0899378350004501</v>
      </c>
      <c r="L78" s="5">
        <v>17.8584651069832</v>
      </c>
      <c r="M78" s="4">
        <v>2.1401139320223499</v>
      </c>
      <c r="N78" s="3">
        <v>37.019617687008498</v>
      </c>
    </row>
    <row r="79" spans="2:14" x14ac:dyDescent="0.25">
      <c r="B79" s="4">
        <v>1.5472720649995599</v>
      </c>
      <c r="C79" s="4">
        <v>0.38313883800583398</v>
      </c>
      <c r="D79" s="4">
        <v>0.118814694011234</v>
      </c>
      <c r="E79" s="3">
        <v>2.1060012949892499</v>
      </c>
      <c r="F79" s="4">
        <v>2.0400162610021599</v>
      </c>
      <c r="G79" s="3">
        <v>271.05290274400602</v>
      </c>
      <c r="H79" s="4">
        <v>0.22220777400070801</v>
      </c>
      <c r="I79" s="4">
        <v>23.089815092011101</v>
      </c>
      <c r="J79" s="4">
        <v>28.598390350991298</v>
      </c>
      <c r="K79" s="3">
        <v>3.1588471889990601</v>
      </c>
      <c r="L79" s="5">
        <v>17.287578961986501</v>
      </c>
      <c r="M79" s="4">
        <v>2.1328980470134402</v>
      </c>
      <c r="N79" s="3">
        <v>36.790702941012498</v>
      </c>
    </row>
    <row r="80" spans="2:14" x14ac:dyDescent="0.25">
      <c r="B80" s="4">
        <v>1.54527973299263</v>
      </c>
      <c r="C80" s="4">
        <v>0.38924611199763598</v>
      </c>
      <c r="D80" s="4">
        <v>0.10501366399694199</v>
      </c>
      <c r="E80" s="3">
        <v>2.1715681700006799</v>
      </c>
      <c r="F80" s="4">
        <v>1.8641481630038399</v>
      </c>
      <c r="G80" s="3">
        <v>271.75481604601299</v>
      </c>
      <c r="H80" s="4">
        <v>0.22601396001118701</v>
      </c>
      <c r="I80" s="4">
        <v>22.867909704989799</v>
      </c>
      <c r="J80" s="4">
        <v>9.1603075220191297</v>
      </c>
      <c r="K80" s="3">
        <v>3.0285464360058501</v>
      </c>
      <c r="L80" s="5">
        <v>17.615720092988301</v>
      </c>
      <c r="M80" s="4">
        <v>2.1495646430121198</v>
      </c>
      <c r="N80" s="3">
        <v>36.768910624988997</v>
      </c>
    </row>
    <row r="81" spans="2:14" x14ac:dyDescent="0.25">
      <c r="B81" s="4">
        <v>3.7704876089992401</v>
      </c>
      <c r="C81" s="4">
        <v>0.39209252200089301</v>
      </c>
      <c r="D81" s="4">
        <v>0.109437976003391</v>
      </c>
      <c r="E81" s="3">
        <v>2.18597131200658</v>
      </c>
      <c r="F81" s="4">
        <v>1.90247577099944</v>
      </c>
      <c r="G81" s="3">
        <v>271.90098652499699</v>
      </c>
      <c r="H81" s="4">
        <v>0.22283780900761399</v>
      </c>
      <c r="I81" s="4">
        <v>22.935432035010301</v>
      </c>
      <c r="J81" s="4">
        <v>9.04185864998726</v>
      </c>
      <c r="K81" s="3">
        <v>3.0932944839878398</v>
      </c>
      <c r="L81" s="5">
        <v>17.3338845290127</v>
      </c>
      <c r="M81" s="4">
        <v>2.0672280320140999</v>
      </c>
      <c r="N81" s="3">
        <v>36.886377971997703</v>
      </c>
    </row>
    <row r="82" spans="2:14" x14ac:dyDescent="0.25">
      <c r="B82" s="4">
        <v>3.29439626498788</v>
      </c>
      <c r="C82" s="4">
        <v>0.395735161000629</v>
      </c>
      <c r="D82" s="4">
        <v>0.11044633798883199</v>
      </c>
      <c r="E82" s="3">
        <v>2.1362067050067699</v>
      </c>
      <c r="F82" s="4">
        <v>1.9947784950054399</v>
      </c>
      <c r="G82" s="3">
        <v>272.41017586400199</v>
      </c>
      <c r="H82" s="4">
        <v>0.22188751300564</v>
      </c>
      <c r="I82" s="4">
        <v>23.179275002999901</v>
      </c>
      <c r="J82" s="4">
        <v>9.3556900680123292</v>
      </c>
      <c r="K82" s="3">
        <v>3.1242682630108898</v>
      </c>
      <c r="L82" s="5">
        <v>17.276712963997799</v>
      </c>
      <c r="M82" s="4">
        <v>2.1156312300008699</v>
      </c>
      <c r="N82" s="3">
        <v>37.0878076759981</v>
      </c>
    </row>
    <row r="83" spans="2:14" x14ac:dyDescent="0.25">
      <c r="B83" s="4">
        <v>1.5047163970011701</v>
      </c>
      <c r="C83" s="4">
        <v>0.400256920998799</v>
      </c>
      <c r="D83" s="4">
        <v>0.10499838499526901</v>
      </c>
      <c r="E83" s="3">
        <v>2.1314091639942401</v>
      </c>
      <c r="F83" s="4">
        <v>1.87445855600526</v>
      </c>
      <c r="G83" s="3">
        <v>271.851947610004</v>
      </c>
      <c r="H83" s="4">
        <v>0.22404748499684499</v>
      </c>
      <c r="I83" s="4">
        <v>22.778096948008098</v>
      </c>
      <c r="J83" s="4">
        <v>8.2415309849893603</v>
      </c>
      <c r="K83" s="3">
        <v>3.1394769679900398</v>
      </c>
      <c r="L83" s="5">
        <v>17.402184655016701</v>
      </c>
      <c r="M83" s="4">
        <v>2.14757548997295</v>
      </c>
      <c r="N83" s="3">
        <v>37.150842022994702</v>
      </c>
    </row>
    <row r="84" spans="2:14" x14ac:dyDescent="0.25">
      <c r="B84" s="4">
        <v>1.80206637299852</v>
      </c>
      <c r="C84" s="4">
        <v>0.393718689010711</v>
      </c>
      <c r="D84" s="4">
        <v>0.104892600997118</v>
      </c>
      <c r="E84" s="3">
        <v>2.0356853670091302</v>
      </c>
      <c r="F84" s="4">
        <v>1.90028732499922</v>
      </c>
      <c r="G84" s="3">
        <v>272.278166217001</v>
      </c>
      <c r="H84" s="4">
        <v>0.221907604005537</v>
      </c>
      <c r="I84" s="4">
        <v>22.97796186099</v>
      </c>
      <c r="J84" s="4">
        <v>8.9548869559948798</v>
      </c>
      <c r="K84" s="3">
        <v>3.17371536999417</v>
      </c>
      <c r="L84" s="5">
        <v>17.376174928009199</v>
      </c>
      <c r="M84" s="4">
        <v>2.1037284169869901</v>
      </c>
      <c r="N84" s="3">
        <v>37.021247944998301</v>
      </c>
    </row>
    <row r="85" spans="2:14" x14ac:dyDescent="0.25">
      <c r="B85" s="4">
        <v>3.5624054209911198</v>
      </c>
      <c r="C85" s="4">
        <v>0.38978010599384999</v>
      </c>
      <c r="D85" s="4">
        <v>0.106322719002491</v>
      </c>
      <c r="E85" s="3">
        <v>2.1291199650004198</v>
      </c>
      <c r="F85" s="4">
        <v>1.92245877700042</v>
      </c>
      <c r="G85" s="3">
        <v>272.29320401401401</v>
      </c>
      <c r="H85" s="4">
        <v>0.22378349700011299</v>
      </c>
      <c r="I85" s="4">
        <v>22.7758827139914</v>
      </c>
      <c r="J85" s="4">
        <v>8.2741147830092796</v>
      </c>
      <c r="K85" s="3">
        <v>3.0764569839957399</v>
      </c>
      <c r="L85" s="5">
        <v>17.170853893010602</v>
      </c>
      <c r="M85" s="4">
        <v>2.1484815599978901</v>
      </c>
      <c r="N85" s="3">
        <v>36.790451060980502</v>
      </c>
    </row>
    <row r="86" spans="2:14" x14ac:dyDescent="0.25">
      <c r="B86" s="4">
        <v>1.5611898220086</v>
      </c>
      <c r="C86" s="4">
        <v>0.37984784200671101</v>
      </c>
      <c r="D86" s="4">
        <v>0.10615057800896401</v>
      </c>
      <c r="E86" s="3">
        <v>2.1823175629979201</v>
      </c>
      <c r="F86" s="4">
        <v>1.85010639100801</v>
      </c>
      <c r="G86" s="3">
        <v>271.93556368499401</v>
      </c>
      <c r="H86" s="4">
        <v>0.22603143700689499</v>
      </c>
      <c r="I86" s="4">
        <v>24.103090040007299</v>
      </c>
      <c r="J86" s="4">
        <v>8.5828922179934999</v>
      </c>
      <c r="K86" s="3">
        <v>2.9396438529947702</v>
      </c>
      <c r="L86" s="5">
        <v>17.463034351996601</v>
      </c>
      <c r="M86" s="4">
        <v>2.1684078759863001</v>
      </c>
      <c r="N86" s="3">
        <v>37.095302358997202</v>
      </c>
    </row>
    <row r="87" spans="2:14" x14ac:dyDescent="0.25">
      <c r="B87" s="4">
        <v>1.51468769100029</v>
      </c>
      <c r="C87" s="4">
        <v>0.384598770993761</v>
      </c>
      <c r="D87" s="4">
        <v>0.110570748001919</v>
      </c>
      <c r="E87" s="3">
        <v>2.1325260689918601</v>
      </c>
      <c r="F87" s="4">
        <v>1.8790946840017499</v>
      </c>
      <c r="G87" s="3">
        <v>272.20688746700699</v>
      </c>
      <c r="H87" s="4">
        <v>0.21993302699411199</v>
      </c>
      <c r="I87" s="4">
        <v>22.8894812960061</v>
      </c>
      <c r="J87" s="4">
        <v>8.3022182480199191</v>
      </c>
      <c r="K87" s="3">
        <v>2.94642504099465</v>
      </c>
      <c r="L87" s="5">
        <v>17.759713483013901</v>
      </c>
      <c r="M87" s="4">
        <v>2.22973527500289</v>
      </c>
      <c r="N87" s="3">
        <v>36.985036825004499</v>
      </c>
    </row>
    <row r="88" spans="2:14" x14ac:dyDescent="0.25">
      <c r="B88" s="4">
        <v>1.61514547999831</v>
      </c>
      <c r="C88" s="4">
        <v>0.39105162900523199</v>
      </c>
      <c r="D88" s="4">
        <v>0.110326251000515</v>
      </c>
      <c r="E88" s="3">
        <v>2.12809825400472</v>
      </c>
      <c r="F88" s="4">
        <v>1.9338955849962001</v>
      </c>
      <c r="G88" s="3">
        <v>272.29330385799398</v>
      </c>
      <c r="H88" s="4">
        <v>0.223574183008167</v>
      </c>
      <c r="I88" s="4">
        <v>23.200204997992799</v>
      </c>
      <c r="J88" s="4">
        <v>8.6113255239906703</v>
      </c>
      <c r="K88" s="3">
        <v>2.9814870529953601</v>
      </c>
      <c r="L88" s="5">
        <v>17.456969236984101</v>
      </c>
      <c r="M88" s="4">
        <v>2.13427312701242</v>
      </c>
      <c r="N88" s="3">
        <v>36.993963095010201</v>
      </c>
    </row>
    <row r="89" spans="2:14" x14ac:dyDescent="0.25">
      <c r="B89" s="4">
        <v>3.2823623849981201</v>
      </c>
      <c r="C89" s="4">
        <v>0.384175344996037</v>
      </c>
      <c r="D89" s="4">
        <v>0.108640274993376</v>
      </c>
      <c r="E89" s="3">
        <v>2.150304203009</v>
      </c>
      <c r="F89" s="4">
        <v>1.8883124189887801</v>
      </c>
      <c r="G89" s="3">
        <v>272.28020610500198</v>
      </c>
      <c r="H89" s="4">
        <v>0.228310655991663</v>
      </c>
      <c r="I89" s="4">
        <v>23.7928421370015</v>
      </c>
      <c r="J89" s="4">
        <v>8.3155556579877103</v>
      </c>
      <c r="K89" s="3">
        <v>3.07977271400159</v>
      </c>
      <c r="L89" s="5">
        <v>17.458361372991899</v>
      </c>
      <c r="M89" s="4">
        <v>2.1111763140070199</v>
      </c>
      <c r="N89" s="3">
        <v>37.041896581009397</v>
      </c>
    </row>
    <row r="90" spans="2:14" x14ac:dyDescent="0.25">
      <c r="B90" s="4">
        <v>1.6261384029930901</v>
      </c>
      <c r="C90" s="4">
        <v>0.38440169900422899</v>
      </c>
      <c r="D90" s="4">
        <v>0.106726807003724</v>
      </c>
      <c r="E90" s="3">
        <v>2.2217895049980099</v>
      </c>
      <c r="F90" s="4">
        <v>1.91514158000063</v>
      </c>
      <c r="G90" s="3">
        <v>271.58800724398998</v>
      </c>
      <c r="H90" s="4">
        <v>0.220523085998138</v>
      </c>
      <c r="I90" s="4">
        <v>22.677591763000201</v>
      </c>
      <c r="J90" s="4">
        <v>8.0664927940233593</v>
      </c>
      <c r="K90" s="3">
        <v>2.9704891040018899</v>
      </c>
      <c r="L90" s="5">
        <v>17.342916725989198</v>
      </c>
      <c r="M90" s="4">
        <v>2.12515941800666</v>
      </c>
      <c r="N90" s="3">
        <v>37.074021690001203</v>
      </c>
    </row>
    <row r="91" spans="2:14" x14ac:dyDescent="0.25">
      <c r="B91" s="4">
        <v>2.2705944629997199</v>
      </c>
      <c r="C91" s="4">
        <v>0.37760287700803002</v>
      </c>
      <c r="D91" s="4">
        <v>0.10895657299261</v>
      </c>
      <c r="E91" s="3">
        <v>2.0971067579957801</v>
      </c>
      <c r="F91" s="4">
        <v>1.8113341449934499</v>
      </c>
      <c r="G91" s="3">
        <v>272.04398261598499</v>
      </c>
      <c r="H91" s="4">
        <v>0.224259241003892</v>
      </c>
      <c r="I91" s="4">
        <v>22.9705406330031</v>
      </c>
      <c r="J91" s="4">
        <v>8.0903060529963096</v>
      </c>
      <c r="K91" s="3">
        <v>2.9655581889965101</v>
      </c>
      <c r="L91" s="5">
        <v>17.233315438003</v>
      </c>
      <c r="M91" s="4">
        <v>2.2031614029838198</v>
      </c>
      <c r="N91" s="3">
        <v>37.168259914993499</v>
      </c>
    </row>
    <row r="92" spans="2:14" x14ac:dyDescent="0.25">
      <c r="B92" s="4">
        <v>4.0238249789981602</v>
      </c>
      <c r="C92" s="4">
        <v>0.39343270199606101</v>
      </c>
      <c r="D92" s="4">
        <v>0.104994929992244</v>
      </c>
      <c r="E92" s="3">
        <v>2.0405950479907902</v>
      </c>
      <c r="F92" s="4">
        <v>2.0021539110020901</v>
      </c>
      <c r="G92" s="3">
        <v>271.62946618700499</v>
      </c>
      <c r="H92" s="4">
        <v>0.22355018199596</v>
      </c>
      <c r="I92" s="4">
        <v>22.976864926997202</v>
      </c>
      <c r="J92" s="4">
        <v>7.9779892819933496</v>
      </c>
      <c r="K92" s="3">
        <v>3.1755070799990701</v>
      </c>
      <c r="L92" s="5">
        <v>17.805057649005899</v>
      </c>
      <c r="M92" s="4">
        <v>2.20992492200457</v>
      </c>
      <c r="N92" s="3">
        <v>36.967696052015498</v>
      </c>
    </row>
    <row r="93" spans="2:14" x14ac:dyDescent="0.25">
      <c r="B93" s="4">
        <v>1.5327126439951799</v>
      </c>
      <c r="C93" s="4">
        <v>0.38221588700253001</v>
      </c>
      <c r="D93" s="4">
        <v>0.106135663008899</v>
      </c>
      <c r="E93" s="3">
        <v>2.0616057429870098</v>
      </c>
      <c r="F93" s="4">
        <v>1.79474016699532</v>
      </c>
      <c r="G93" s="3">
        <v>272.101100355997</v>
      </c>
      <c r="H93" s="4">
        <v>0.22346923600707599</v>
      </c>
      <c r="I93" s="4">
        <v>22.9218088069901</v>
      </c>
      <c r="J93" s="4">
        <v>7.9656177790020504</v>
      </c>
      <c r="K93" s="3">
        <v>3.1192974590085201</v>
      </c>
      <c r="L93" s="5">
        <v>17.340514599985902</v>
      </c>
      <c r="M93" s="4">
        <v>2.1313044309790699</v>
      </c>
      <c r="N93" s="3">
        <v>36.937569395988199</v>
      </c>
    </row>
    <row r="94" spans="2:14" x14ac:dyDescent="0.25">
      <c r="B94" s="4">
        <v>2.2922291170107201</v>
      </c>
      <c r="C94" s="4">
        <v>0.39126410199969502</v>
      </c>
      <c r="D94" s="4">
        <v>0.109751798998331</v>
      </c>
      <c r="E94" s="3">
        <v>2.08792014200298</v>
      </c>
      <c r="F94" s="4">
        <v>1.8714427950035299</v>
      </c>
      <c r="G94" s="3">
        <v>271.62033631300397</v>
      </c>
      <c r="H94" s="4">
        <v>0.221378328002174</v>
      </c>
      <c r="I94" s="4">
        <v>22.806360221002201</v>
      </c>
      <c r="J94" s="4">
        <v>8.9039350120001401</v>
      </c>
      <c r="K94" s="3">
        <v>3.1534085769962901</v>
      </c>
      <c r="L94" s="5">
        <v>17.646920758998</v>
      </c>
      <c r="M94" s="4">
        <v>2.1049618380202402</v>
      </c>
      <c r="N94" s="3">
        <v>37.3251072499842</v>
      </c>
    </row>
    <row r="95" spans="2:14" x14ac:dyDescent="0.25">
      <c r="B95" s="4">
        <v>2.0108498999907098</v>
      </c>
      <c r="C95" s="4">
        <v>0.38263826600450501</v>
      </c>
      <c r="D95" s="4">
        <v>0.108160696006962</v>
      </c>
      <c r="E95" s="3">
        <v>2.1613077329966401</v>
      </c>
      <c r="F95" s="4">
        <v>1.9775797430047499</v>
      </c>
      <c r="G95" s="3">
        <v>272.490425832016</v>
      </c>
      <c r="H95" s="4">
        <v>0.22731754399137499</v>
      </c>
      <c r="I95" s="4">
        <v>22.9509329060092</v>
      </c>
      <c r="J95" s="4">
        <v>8.2578684079926408</v>
      </c>
      <c r="K95" s="3">
        <v>3.0413125149934701</v>
      </c>
      <c r="L95" s="5">
        <v>17.6235149939893</v>
      </c>
      <c r="M95" s="4">
        <v>2.10798074700869</v>
      </c>
      <c r="N95" s="3">
        <v>36.922232085984398</v>
      </c>
    </row>
    <row r="96" spans="2:14" x14ac:dyDescent="0.25">
      <c r="B96" s="4">
        <v>4.0124010699946604</v>
      </c>
      <c r="C96" s="4">
        <v>0.391850193002028</v>
      </c>
      <c r="D96" s="4">
        <v>0.10554391000186999</v>
      </c>
      <c r="E96" s="3">
        <v>2.1058703829912702</v>
      </c>
      <c r="F96" s="4">
        <v>1.8395790920039801</v>
      </c>
      <c r="G96" s="3">
        <v>271.87476044098702</v>
      </c>
      <c r="H96" s="4">
        <v>0.22075928999402</v>
      </c>
      <c r="I96" s="4">
        <v>23.094378794994501</v>
      </c>
      <c r="J96" s="4">
        <v>7.68439638600102</v>
      </c>
      <c r="K96" s="3">
        <v>3.0047064449900001</v>
      </c>
      <c r="L96" s="5">
        <v>17.4449387570202</v>
      </c>
      <c r="M96" s="4">
        <v>2.19589010300114</v>
      </c>
      <c r="N96" s="3">
        <v>37.483140720985801</v>
      </c>
    </row>
    <row r="97" spans="2:14" x14ac:dyDescent="0.25">
      <c r="B97" s="4">
        <v>1.5388251120020799</v>
      </c>
      <c r="C97" s="4">
        <v>0.38311732599686299</v>
      </c>
      <c r="D97" s="4">
        <v>0.109420701002818</v>
      </c>
      <c r="E97" s="3">
        <v>2.1268976520077501</v>
      </c>
      <c r="F97" s="4">
        <v>1.94716098999197</v>
      </c>
      <c r="G97" s="3">
        <v>271.24327034101498</v>
      </c>
      <c r="H97" s="4">
        <v>0.225180508001358</v>
      </c>
      <c r="I97" s="4">
        <v>23.078707790002198</v>
      </c>
      <c r="J97" s="4">
        <v>8.0461263440083695</v>
      </c>
      <c r="K97" s="3">
        <v>3.0657791429985002</v>
      </c>
      <c r="L97" s="5">
        <v>17.194631266989699</v>
      </c>
      <c r="M97" s="4">
        <v>2.1948403620044701</v>
      </c>
      <c r="N97" s="3">
        <v>36.761371572996701</v>
      </c>
    </row>
    <row r="98" spans="2:14" x14ac:dyDescent="0.25">
      <c r="B98" s="4">
        <v>1.53928979800548</v>
      </c>
      <c r="C98" s="4">
        <v>0.39313492599467198</v>
      </c>
      <c r="D98" s="4">
        <v>0.107967367002856</v>
      </c>
      <c r="E98" s="3">
        <v>2.1463913869956701</v>
      </c>
      <c r="F98" s="4">
        <v>1.8810743960057099</v>
      </c>
      <c r="G98" s="3">
        <v>272.12062596701401</v>
      </c>
      <c r="H98" s="4">
        <v>0.221276492011384</v>
      </c>
      <c r="I98" s="4">
        <v>22.862741381002699</v>
      </c>
      <c r="J98" s="4">
        <v>12.126317237998499</v>
      </c>
      <c r="K98" s="3">
        <v>3.1868947040056801</v>
      </c>
      <c r="L98" s="5">
        <v>17.5612807820143</v>
      </c>
      <c r="M98" s="4">
        <v>2.1218736409791701</v>
      </c>
      <c r="N98" s="3">
        <v>37.147873262991197</v>
      </c>
    </row>
    <row r="99" spans="2:14" x14ac:dyDescent="0.25">
      <c r="B99" s="4">
        <v>1.5047619149991001</v>
      </c>
      <c r="C99" s="4">
        <v>0.39726532400527498</v>
      </c>
      <c r="D99" s="4">
        <v>0.109491882001748</v>
      </c>
      <c r="E99" s="3">
        <v>2.1202079119975599</v>
      </c>
      <c r="F99" s="4">
        <v>1.81114320798951</v>
      </c>
      <c r="G99" s="3">
        <v>272.10958409999103</v>
      </c>
      <c r="H99" s="4">
        <v>0.224965145011083</v>
      </c>
      <c r="I99" s="4">
        <v>22.9653328389977</v>
      </c>
      <c r="J99" s="4">
        <v>66.5174799639789</v>
      </c>
      <c r="K99" s="3">
        <v>3.1407528010022299</v>
      </c>
      <c r="L99" s="5">
        <v>17.769508972007301</v>
      </c>
      <c r="M99" s="4">
        <v>2.1173310019948901</v>
      </c>
      <c r="N99" s="3">
        <v>36.993138989986598</v>
      </c>
    </row>
    <row r="100" spans="2:14" x14ac:dyDescent="0.25">
      <c r="B100" s="4">
        <v>1.5402821430034199</v>
      </c>
      <c r="C100" s="4">
        <v>0.38733833200239998</v>
      </c>
      <c r="D100" s="4">
        <v>0.110275826009456</v>
      </c>
      <c r="E100" s="3">
        <v>2.1456419989990501</v>
      </c>
      <c r="F100" s="4">
        <v>1.8239438250020601</v>
      </c>
      <c r="G100" s="3">
        <v>272.35540665197101</v>
      </c>
      <c r="H100" s="4">
        <v>0.22352583700558101</v>
      </c>
      <c r="I100" s="4">
        <v>22.8097237199981</v>
      </c>
      <c r="J100" s="4">
        <v>43.387507471023099</v>
      </c>
      <c r="K100" s="3">
        <v>3.10239430199726</v>
      </c>
      <c r="L100" s="5">
        <v>17.933863027981701</v>
      </c>
      <c r="M100" s="4">
        <v>2.0673754170129501</v>
      </c>
      <c r="N100" s="3">
        <v>37.311882358975701</v>
      </c>
    </row>
    <row r="101" spans="2:14" x14ac:dyDescent="0.25">
      <c r="B101" s="4">
        <v>1.5307247960008601</v>
      </c>
      <c r="C101" s="4">
        <v>0.38830869400408102</v>
      </c>
      <c r="D101" s="4">
        <v>0.112418038988835</v>
      </c>
      <c r="E101" s="3">
        <v>2.1241429989895502</v>
      </c>
      <c r="F101" s="4">
        <v>1.87293060700176</v>
      </c>
      <c r="G101" s="3">
        <v>271.77985567398702</v>
      </c>
      <c r="H101" s="4">
        <v>0.227723100993898</v>
      </c>
      <c r="I101" s="4">
        <v>23.162476989003999</v>
      </c>
      <c r="J101" s="4">
        <v>53.092013038985897</v>
      </c>
      <c r="K101" s="3">
        <v>3.15979521100234</v>
      </c>
      <c r="L101" s="5">
        <v>17.386939590011</v>
      </c>
      <c r="M101" s="4">
        <v>2.1095419360208298</v>
      </c>
      <c r="N101" s="3">
        <v>36.913847944990202</v>
      </c>
    </row>
    <row r="102" spans="2:14" x14ac:dyDescent="0.25">
      <c r="B102" s="4">
        <v>2.2926808290067102</v>
      </c>
      <c r="C102" s="4">
        <v>0.38512251799693298</v>
      </c>
      <c r="D102" s="4">
        <v>0.106642742990516</v>
      </c>
      <c r="E102" s="3">
        <v>2.1173737220087698</v>
      </c>
      <c r="F102" s="4">
        <v>2.0509442830079898</v>
      </c>
      <c r="G102" s="3">
        <v>272.02623271400802</v>
      </c>
      <c r="H102" s="4">
        <v>0.22537417500279799</v>
      </c>
      <c r="I102" s="4">
        <v>22.802426849011599</v>
      </c>
      <c r="J102" s="4">
        <v>70.708042313985004</v>
      </c>
      <c r="K102" s="3">
        <v>3.1465811349917199</v>
      </c>
      <c r="L102" s="5">
        <v>17.194792830996398</v>
      </c>
      <c r="M102" s="4">
        <v>2.1705794220033501</v>
      </c>
      <c r="N102" s="3">
        <v>37.028480397013404</v>
      </c>
    </row>
    <row r="103" spans="2:14" x14ac:dyDescent="0.25">
      <c r="B103" s="4">
        <v>1.53376797799137</v>
      </c>
      <c r="C103" s="4">
        <v>0.39019460199051498</v>
      </c>
      <c r="D103" s="4">
        <v>0.11044829699676401</v>
      </c>
      <c r="E103" s="3">
        <v>2.0579438089916899</v>
      </c>
      <c r="F103" s="4">
        <v>2.0453713210008502</v>
      </c>
      <c r="G103" s="3">
        <v>271.16497307200899</v>
      </c>
      <c r="H103" s="4">
        <v>0.23889605500153199</v>
      </c>
      <c r="I103" s="4">
        <v>23.436465355000099</v>
      </c>
      <c r="J103" s="4">
        <v>48.242743904003802</v>
      </c>
      <c r="K103" s="3">
        <v>3.1404006880038602</v>
      </c>
      <c r="L103" s="5">
        <v>17.391012689011401</v>
      </c>
      <c r="M103" s="4">
        <v>2.1335810000018598</v>
      </c>
      <c r="N103" s="3">
        <v>37.050783718004801</v>
      </c>
    </row>
    <row r="104" spans="2:14" x14ac:dyDescent="0.25">
      <c r="B104" s="4">
        <v>4.0700468290015097</v>
      </c>
      <c r="C104" s="4">
        <v>0.38676457099791101</v>
      </c>
      <c r="D104" s="4">
        <v>0.107619734000763</v>
      </c>
      <c r="E104" s="3">
        <v>2.1340250920038599</v>
      </c>
      <c r="F104" s="4">
        <v>1.9262010779930201</v>
      </c>
      <c r="G104" s="3">
        <v>272.87525448200103</v>
      </c>
      <c r="H104" s="4">
        <v>0.22261253299075101</v>
      </c>
      <c r="I104" s="4">
        <v>24.277390475006499</v>
      </c>
      <c r="J104" s="4">
        <v>29.8501853430061</v>
      </c>
      <c r="K104" s="3">
        <v>3.1786778310051802</v>
      </c>
      <c r="L104" s="5">
        <v>17.324227951001301</v>
      </c>
      <c r="M104" s="4">
        <v>2.1033895790169401</v>
      </c>
      <c r="N104" s="3">
        <v>36.693133438995503</v>
      </c>
    </row>
    <row r="105" spans="2:14" x14ac:dyDescent="0.25">
      <c r="B105" s="4">
        <v>1.5279124530061301</v>
      </c>
      <c r="C105" s="4">
        <v>0.38121073400543498</v>
      </c>
      <c r="D105" s="4">
        <v>0.10999444300250601</v>
      </c>
      <c r="E105" s="3">
        <v>2.0738571999972901</v>
      </c>
      <c r="F105" s="4">
        <v>1.8315422690066001</v>
      </c>
      <c r="G105" s="3">
        <v>272.64477533200898</v>
      </c>
      <c r="H105" s="4">
        <v>0.22333314699062601</v>
      </c>
      <c r="I105" s="4">
        <v>23.008726349988098</v>
      </c>
      <c r="J105" s="4">
        <v>20.004818167974001</v>
      </c>
      <c r="K105" s="3">
        <v>3.1120215920091101</v>
      </c>
      <c r="L105" s="5">
        <v>17.592476603022</v>
      </c>
      <c r="M105" s="4">
        <v>2.1495516079885402</v>
      </c>
      <c r="N105" s="3">
        <v>36.623355239018501</v>
      </c>
    </row>
    <row r="106" spans="2:14" x14ac:dyDescent="0.25">
      <c r="B106" s="4">
        <v>2.5433190160110799</v>
      </c>
      <c r="C106" s="4">
        <v>0.38774593999551099</v>
      </c>
      <c r="D106" s="4">
        <v>0.10929989100259201</v>
      </c>
      <c r="E106" s="3">
        <v>2.1318071009882198</v>
      </c>
      <c r="F106" s="4">
        <v>1.8592013510060399</v>
      </c>
      <c r="G106" s="3">
        <v>272.48022473901102</v>
      </c>
      <c r="H106" s="4">
        <v>0.22437301400350401</v>
      </c>
      <c r="I106" s="4">
        <v>22.863050268992001</v>
      </c>
      <c r="J106" s="4">
        <v>9.9337747940153296</v>
      </c>
      <c r="K106" s="3">
        <v>3.0748068670072799</v>
      </c>
      <c r="L106" s="5">
        <v>17.359649913996599</v>
      </c>
      <c r="M106" s="4">
        <v>2.13396157100214</v>
      </c>
      <c r="N106" s="3">
        <v>36.9056207510002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safesec_data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2024-05-16T09:46:38Z</dcterms:created>
  <dcterms:modified xsi:type="dcterms:W3CDTF">2024-05-16T09:47:13Z</dcterms:modified>
</cp:coreProperties>
</file>