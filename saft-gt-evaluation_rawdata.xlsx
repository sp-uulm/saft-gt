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defaultThemeVersion="166925"/>
  <xr:revisionPtr revIDLastSave="0" documentId="13_ncr:1_{6F1CC566-F1D3-468E-8829-1E29ECD41CC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afesec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" i="1" l="1"/>
  <c r="S5" i="1"/>
  <c r="S4" i="1"/>
  <c r="V6" i="1"/>
  <c r="U6" i="1"/>
  <c r="T6" i="1"/>
  <c r="T7" i="1" s="1"/>
  <c r="V4" i="1"/>
  <c r="U4" i="1"/>
  <c r="T4" i="1"/>
  <c r="S7" i="1"/>
  <c r="S6" i="1"/>
  <c r="R6" i="1"/>
  <c r="Q6" i="1"/>
  <c r="R7" i="1" s="1"/>
  <c r="P6" i="1"/>
  <c r="R4" i="1"/>
  <c r="Q4" i="1"/>
  <c r="R5" i="1" s="1"/>
  <c r="P4" i="1"/>
  <c r="P5" i="1" s="1"/>
  <c r="N6" i="1"/>
  <c r="M6" i="1"/>
  <c r="L6" i="1"/>
  <c r="L7" i="1" s="1"/>
  <c r="K6" i="1"/>
  <c r="J6" i="1"/>
  <c r="I6" i="1"/>
  <c r="H6" i="1"/>
  <c r="G6" i="1"/>
  <c r="F6" i="1"/>
  <c r="E6" i="1"/>
  <c r="D6" i="1"/>
  <c r="C6" i="1"/>
  <c r="B6" i="1"/>
  <c r="N4" i="1"/>
  <c r="M4" i="1"/>
  <c r="L4" i="1"/>
  <c r="L5" i="1" s="1"/>
  <c r="K4" i="1"/>
  <c r="J4" i="1"/>
  <c r="I4" i="1"/>
  <c r="H4" i="1"/>
  <c r="G4" i="1"/>
  <c r="G5" i="1" s="1"/>
  <c r="F4" i="1"/>
  <c r="E4" i="1"/>
  <c r="D4" i="1"/>
  <c r="C4" i="1"/>
  <c r="B4" i="1"/>
  <c r="O6" i="1" l="1"/>
  <c r="V5" i="1"/>
  <c r="V7" i="1"/>
  <c r="W7" i="1" s="1"/>
  <c r="W4" i="1"/>
  <c r="T5" i="1"/>
  <c r="W5" i="1" s="1"/>
  <c r="W6" i="1"/>
  <c r="P7" i="1"/>
  <c r="E7" i="1"/>
  <c r="N7" i="1"/>
  <c r="O7" i="1" s="1"/>
  <c r="K5" i="1"/>
  <c r="G7" i="1"/>
  <c r="O4" i="1"/>
  <c r="K7" i="1"/>
  <c r="E5" i="1"/>
  <c r="O5" i="1" l="1"/>
</calcChain>
</file>

<file path=xl/sharedStrings.xml><?xml version="1.0" encoding="utf-8"?>
<sst xmlns="http://schemas.openxmlformats.org/spreadsheetml/2006/main" count="49" uniqueCount="35">
  <si>
    <t>stage 2</t>
  </si>
  <si>
    <t>stage 4</t>
  </si>
  <si>
    <t>stage 8</t>
  </si>
  <si>
    <t>stage 16</t>
  </si>
  <si>
    <t>stage 32</t>
  </si>
  <si>
    <t>stage 64</t>
  </si>
  <si>
    <t>stage 128</t>
  </si>
  <si>
    <t>stage 256</t>
  </si>
  <si>
    <t>stage 512</t>
  </si>
  <si>
    <t>stage 1024</t>
  </si>
  <si>
    <t>stage 2048</t>
  </si>
  <si>
    <t>stage 4096</t>
  </si>
  <si>
    <t>stage 8192</t>
  </si>
  <si>
    <t>Fetch Model</t>
  </si>
  <si>
    <t>Combine Dataflows</t>
  </si>
  <si>
    <t>Cleanup Dataflow</t>
  </si>
  <si>
    <t>Create Initial Deployment</t>
  </si>
  <si>
    <t>Enhance Deployment</t>
  </si>
  <si>
    <t>Extract Package Files</t>
  </si>
  <si>
    <t>Create Input for ATG</t>
  </si>
  <si>
    <t>Attack Gen CPEs</t>
  </si>
  <si>
    <t>Attack Gen Fulltext</t>
  </si>
  <si>
    <t>AFT Generation</t>
  </si>
  <si>
    <t>AFT2DFT</t>
  </si>
  <si>
    <t>MC</t>
  </si>
  <si>
    <t>Sum:</t>
  </si>
  <si>
    <t>Gen Dataflow Model</t>
  </si>
  <si>
    <t>sd sum</t>
  </si>
  <si>
    <t>avg</t>
  </si>
  <si>
    <t>sd</t>
  </si>
  <si>
    <t>avg sum</t>
  </si>
  <si>
    <t>values:</t>
  </si>
  <si>
    <t>spying</t>
  </si>
  <si>
    <t>battery</t>
  </si>
  <si>
    <t>injure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</si>
</sst>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164" fontId="0" fillId="0" borderId="10" xfId="0" applyNumberFormat="1" applyBorder="1"/>
    <xf numFmtId="164" fontId="0" fillId="0" borderId="0" xfId="0" applyNumberFormat="1"/>
    <xf numFmtId="164" fontId="0" fillId="0" borderId="11" xfId="0" applyNumberFormat="1" applyBorder="1"/>
    <xf numFmtId="164" fontId="0" fillId="0" borderId="0" xfId="0" applyNumberFormat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2" xfId="0" applyBorder="1"/>
    <xf numFmtId="164" fontId="0" fillId="0" borderId="14" xfId="0" applyNumberFormat="1" applyBorder="1"/>
    <xf numFmtId="164" fontId="0" fillId="0" borderId="15" xfId="0" applyNumberFormat="1" applyBorder="1"/>
    <xf numFmtId="164" fontId="0" fillId="0" borderId="15" xfId="0" applyNumberFormat="1" applyBorder="1" applyAlignment="1">
      <alignment horizontal="right"/>
    </xf>
    <xf numFmtId="164" fontId="0" fillId="0" borderId="16" xfId="0" applyNumberFormat="1" applyBorder="1"/>
    <xf numFmtId="164" fontId="0" fillId="0" borderId="12" xfId="0" applyNumberFormat="1" applyBorder="1"/>
    <xf numFmtId="0" fontId="0" fillId="0" borderId="1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7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A7" sqref="A7"/>
    </sheetView>
  </sheetViews>
  <sheetFormatPr baseColWidth="10" defaultRowHeight="15" x14ac:dyDescent="0.25"/>
  <cols>
    <col min="1" max="1" width="11.42578125" style="1"/>
    <col min="2" max="2" width="18.28515625" bestFit="1" customWidth="1"/>
    <col min="3" max="3" width="12.7109375" bestFit="1" customWidth="1"/>
    <col min="4" max="4" width="18.42578125" bestFit="1" customWidth="1"/>
    <col min="5" max="5" width="16.85546875" style="1" bestFit="1" customWidth="1"/>
    <col min="6" max="6" width="24.140625" bestFit="1" customWidth="1"/>
    <col min="7" max="7" width="20" style="1" bestFit="1" customWidth="1"/>
    <col min="8" max="8" width="19.28515625" bestFit="1" customWidth="1"/>
    <col min="9" max="9" width="19.140625" bestFit="1" customWidth="1"/>
    <col min="10" max="10" width="15.140625" bestFit="1" customWidth="1"/>
    <col min="11" max="11" width="18" style="1" bestFit="1" customWidth="1"/>
    <col min="12" max="12" width="14.7109375" style="2" bestFit="1" customWidth="1"/>
    <col min="13" max="13" width="12.7109375" bestFit="1" customWidth="1"/>
    <col min="14" max="14" width="12.7109375" style="1" bestFit="1" customWidth="1"/>
    <col min="15" max="15" width="11.42578125" style="5"/>
    <col min="16" max="16" width="14.7109375" style="2" bestFit="1" customWidth="1"/>
    <col min="17" max="17" width="12.7109375" bestFit="1" customWidth="1"/>
    <col min="18" max="18" width="12.7109375" style="1" bestFit="1" customWidth="1"/>
    <col min="19" max="19" width="11.42578125" style="5"/>
    <col min="20" max="20" width="14.7109375" style="2" bestFit="1" customWidth="1"/>
    <col min="21" max="21" width="12.7109375" bestFit="1" customWidth="1"/>
    <col min="22" max="22" width="12.7109375" style="1" bestFit="1" customWidth="1"/>
    <col min="23" max="23" width="11.42578125" style="5"/>
  </cols>
  <sheetData>
    <row r="1" spans="1:23" x14ac:dyDescent="0.25">
      <c r="L1" s="17" t="s">
        <v>33</v>
      </c>
      <c r="M1" s="18"/>
      <c r="N1" s="18"/>
      <c r="O1" s="19"/>
      <c r="P1" s="17" t="s">
        <v>32</v>
      </c>
      <c r="Q1" s="18"/>
      <c r="R1" s="18"/>
      <c r="S1" s="19"/>
      <c r="T1" s="17" t="s">
        <v>34</v>
      </c>
      <c r="U1" s="18"/>
      <c r="V1" s="18"/>
      <c r="W1" s="19"/>
    </row>
    <row r="2" spans="1:23" x14ac:dyDescent="0.25">
      <c r="B2" s="7" t="s">
        <v>0</v>
      </c>
      <c r="C2" t="s">
        <v>1</v>
      </c>
      <c r="D2" t="s">
        <v>2</v>
      </c>
      <c r="E2" s="1" t="s">
        <v>3</v>
      </c>
      <c r="F2" t="s">
        <v>4</v>
      </c>
      <c r="G2" s="1" t="s">
        <v>5</v>
      </c>
      <c r="H2" t="s">
        <v>6</v>
      </c>
      <c r="I2" t="s">
        <v>7</v>
      </c>
      <c r="J2" t="s">
        <v>8</v>
      </c>
      <c r="K2" s="1" t="s">
        <v>9</v>
      </c>
      <c r="L2" s="2" t="s">
        <v>10</v>
      </c>
      <c r="M2" t="s">
        <v>11</v>
      </c>
      <c r="N2" s="1" t="s">
        <v>12</v>
      </c>
      <c r="O2" s="2" t="s">
        <v>25</v>
      </c>
      <c r="P2" s="2" t="s">
        <v>10</v>
      </c>
      <c r="Q2" t="s">
        <v>11</v>
      </c>
      <c r="R2" s="1" t="s">
        <v>12</v>
      </c>
      <c r="S2" s="2" t="s">
        <v>25</v>
      </c>
      <c r="T2" s="2" t="s">
        <v>10</v>
      </c>
      <c r="U2" t="s">
        <v>11</v>
      </c>
      <c r="V2" s="1" t="s">
        <v>12</v>
      </c>
      <c r="W2" s="2" t="s">
        <v>25</v>
      </c>
    </row>
    <row r="3" spans="1:23" ht="15.75" thickBot="1" x14ac:dyDescent="0.3">
      <c r="A3" s="10"/>
      <c r="B3" s="8" t="s">
        <v>26</v>
      </c>
      <c r="C3" s="9" t="s">
        <v>13</v>
      </c>
      <c r="D3" s="9" t="s">
        <v>14</v>
      </c>
      <c r="E3" s="10" t="s">
        <v>15</v>
      </c>
      <c r="F3" s="9" t="s">
        <v>16</v>
      </c>
      <c r="G3" s="10" t="s">
        <v>17</v>
      </c>
      <c r="H3" s="9" t="s">
        <v>18</v>
      </c>
      <c r="I3" s="9" t="s">
        <v>19</v>
      </c>
      <c r="J3" s="9" t="s">
        <v>20</v>
      </c>
      <c r="K3" s="10" t="s">
        <v>21</v>
      </c>
      <c r="L3" s="11" t="s">
        <v>22</v>
      </c>
      <c r="M3" s="9" t="s">
        <v>23</v>
      </c>
      <c r="N3" s="10" t="s">
        <v>24</v>
      </c>
      <c r="O3" s="11"/>
      <c r="P3" s="11" t="s">
        <v>22</v>
      </c>
      <c r="Q3" s="9" t="s">
        <v>23</v>
      </c>
      <c r="R3" s="10" t="s">
        <v>24</v>
      </c>
      <c r="S3" s="11"/>
      <c r="T3" s="11" t="s">
        <v>22</v>
      </c>
      <c r="U3" s="9" t="s">
        <v>23</v>
      </c>
      <c r="V3" s="10" t="s">
        <v>24</v>
      </c>
      <c r="W3" s="11"/>
    </row>
    <row r="4" spans="1:23" ht="15.75" thickTop="1" x14ac:dyDescent="0.25">
      <c r="A4" s="1" t="s">
        <v>28</v>
      </c>
      <c r="B4" s="4">
        <f t="shared" ref="B4:N4" si="0">AVERAGE(B8:B107)</f>
        <v>2.2400567343807749</v>
      </c>
      <c r="C4" s="4">
        <f t="shared" si="0"/>
        <v>0.38862630641073326</v>
      </c>
      <c r="D4" s="4">
        <f t="shared" si="0"/>
        <v>0.10836520817028904</v>
      </c>
      <c r="E4" s="3">
        <f t="shared" si="0"/>
        <v>2.241555616010007</v>
      </c>
      <c r="F4" s="4">
        <f t="shared" si="0"/>
        <v>1.9300830833709888</v>
      </c>
      <c r="G4" s="3">
        <f t="shared" si="0"/>
        <v>271.99466391209171</v>
      </c>
      <c r="H4" s="4">
        <f t="shared" si="0"/>
        <v>0.22380398446082808</v>
      </c>
      <c r="I4" s="4">
        <f t="shared" si="0"/>
        <v>25.559636599323717</v>
      </c>
      <c r="J4" s="4">
        <f t="shared" si="0"/>
        <v>10.954714737557808</v>
      </c>
      <c r="K4" s="3">
        <f t="shared" si="0"/>
        <v>515.85830874955752</v>
      </c>
      <c r="L4" s="5">
        <f t="shared" si="0"/>
        <v>10.167731341300533</v>
      </c>
      <c r="M4" s="4">
        <f t="shared" si="0"/>
        <v>2.860205171064008</v>
      </c>
      <c r="N4" s="3">
        <f t="shared" si="0"/>
        <v>0.26387991172727199</v>
      </c>
      <c r="O4" s="5">
        <f>SUM(B4:N4)</f>
        <v>844.79163135542615</v>
      </c>
      <c r="P4" s="5">
        <f t="shared" ref="P4:R4" si="1">AVERAGE(P8:P107)</f>
        <v>17.61858811004786</v>
      </c>
      <c r="Q4" s="4">
        <f t="shared" si="1"/>
        <v>2.7394887560768986</v>
      </c>
      <c r="R4" s="3">
        <f t="shared" si="1"/>
        <v>0.30240317509509623</v>
      </c>
      <c r="S4" s="5">
        <f>SUM($B4:$K4,P4:R4)</f>
        <v>852.16029497255431</v>
      </c>
      <c r="T4" s="5">
        <f t="shared" ref="T4:V4" si="2">AVERAGE(T8:T107)</f>
        <v>21.70818108077161</v>
      </c>
      <c r="U4" s="4">
        <f t="shared" si="2"/>
        <v>2.9536762406979689</v>
      </c>
      <c r="V4" s="3">
        <f t="shared" si="2"/>
        <v>0.69680986312218007</v>
      </c>
      <c r="W4" s="5">
        <f>SUM($B4:$K4,T4:V4)</f>
        <v>856.85848211592622</v>
      </c>
    </row>
    <row r="5" spans="1:23" x14ac:dyDescent="0.25">
      <c r="A5" s="1" t="s">
        <v>30</v>
      </c>
      <c r="B5" s="4"/>
      <c r="C5" s="4"/>
      <c r="D5" s="6"/>
      <c r="E5" s="3">
        <f>SUM(B4:E4)</f>
        <v>4.9786038649718041</v>
      </c>
      <c r="F5" s="6"/>
      <c r="G5" s="3">
        <f>SUM(F4:G4)</f>
        <v>273.92474699546273</v>
      </c>
      <c r="H5" s="4"/>
      <c r="I5" s="4"/>
      <c r="J5" s="6"/>
      <c r="K5" s="3">
        <f>SUM(H4:K4)</f>
        <v>552.59646407089986</v>
      </c>
      <c r="L5" s="3">
        <f>SUM(L4:L4)</f>
        <v>10.167731341300533</v>
      </c>
      <c r="M5" s="6"/>
      <c r="N5" s="3">
        <f>SUM(M4:N4)</f>
        <v>3.1240850827912801</v>
      </c>
      <c r="O5" s="5">
        <f>SUM(E5+G5+K5+L5+N5)</f>
        <v>844.79163135542615</v>
      </c>
      <c r="P5" s="3">
        <f>SUM(P4:P4)</f>
        <v>17.61858811004786</v>
      </c>
      <c r="Q5" s="6"/>
      <c r="R5" s="3">
        <f>SUM(Q4:R4)</f>
        <v>3.0418919311719947</v>
      </c>
      <c r="S5" s="5">
        <f>SUM($E5+$G5+$K5+P5+R5)</f>
        <v>852.16029497255431</v>
      </c>
      <c r="T5" s="3">
        <f>SUM(T4:T4)</f>
        <v>21.70818108077161</v>
      </c>
      <c r="U5" s="6"/>
      <c r="V5" s="3">
        <f>SUM(U4:V4)</f>
        <v>3.6504861038201488</v>
      </c>
      <c r="W5" s="5">
        <f>SUM($E5+$G5+$K5+T5+V5)</f>
        <v>856.85848211592622</v>
      </c>
    </row>
    <row r="6" spans="1:23" x14ac:dyDescent="0.25">
      <c r="A6" s="1" t="s">
        <v>29</v>
      </c>
      <c r="B6" s="4">
        <f t="shared" ref="B6:N6" si="3">STDEV(B8:B107)</f>
        <v>0.97479863551901247</v>
      </c>
      <c r="C6" s="4">
        <f t="shared" si="3"/>
        <v>8.5806002427845501E-3</v>
      </c>
      <c r="D6" s="4">
        <f t="shared" si="3"/>
        <v>2.1876632864803471E-3</v>
      </c>
      <c r="E6" s="3">
        <f t="shared" si="3"/>
        <v>0.30682571430857758</v>
      </c>
      <c r="F6" s="4">
        <f t="shared" si="3"/>
        <v>8.8442212161136402E-2</v>
      </c>
      <c r="G6" s="3">
        <f t="shared" si="3"/>
        <v>0.73762148393564131</v>
      </c>
      <c r="H6" s="4">
        <f t="shared" si="3"/>
        <v>2.6962478714155453E-3</v>
      </c>
      <c r="I6" s="4">
        <f t="shared" si="3"/>
        <v>0.87856319557008189</v>
      </c>
      <c r="J6" s="4">
        <f t="shared" si="3"/>
        <v>0.66243205485727752</v>
      </c>
      <c r="K6" s="3">
        <f t="shared" si="3"/>
        <v>0.95569109813096542</v>
      </c>
      <c r="L6" s="5">
        <f t="shared" si="3"/>
        <v>1.0751945334298472</v>
      </c>
      <c r="M6" s="4">
        <f t="shared" si="3"/>
        <v>0.26667911140056716</v>
      </c>
      <c r="N6" s="3">
        <f t="shared" si="3"/>
        <v>4.1028009994668636E-2</v>
      </c>
      <c r="O6" s="5">
        <f>SQRT($B6*$B6+$C6*$C6+$D6*$D6+$E6*$E6+$F6*$F6+$G6*$G6+$H6*$H6+$I6*$I6+$J6*$J6+$K6*$K6+L6*L6+M6*M6+N6*N6)</f>
        <v>2.2246902888465847</v>
      </c>
      <c r="P6" s="5">
        <f>STDEV(P8:P107)</f>
        <v>1.9057394450391485</v>
      </c>
      <c r="Q6" s="4">
        <f>STDEV(Q8:Q107)</f>
        <v>7.7729765607317328E-2</v>
      </c>
      <c r="R6" s="3">
        <f>STDEV(R8:R107)</f>
        <v>4.1014420160732729E-2</v>
      </c>
      <c r="S6" s="5">
        <f>SQRT($B6*$B6+$C6*$C6+$D6*$D6+$E6*$E6+$F6*$F6+$G6*$G6+$H6*$H6+$I6*$I6+$J6*$J6+$K6*$K6+P6*P6+Q6*Q6+R6*R6)</f>
        <v>2.7129263687040912</v>
      </c>
      <c r="T6" s="5">
        <f>STDEV(T8:T107)</f>
        <v>0.93623515534380031</v>
      </c>
      <c r="U6" s="4">
        <f>STDEV(U8:U107)</f>
        <v>0.11958509530482062</v>
      </c>
      <c r="V6" s="3">
        <f>STDEV(V8:V107)</f>
        <v>4.2254916685601288E-2</v>
      </c>
      <c r="W6" s="5">
        <f>SQRT($B6*$B6+$C6*$C6+$D6*$D6+$E6*$E6+$F6*$F6+$G6*$G6+$H6*$H6+$I6*$I6+$J6*$J6+$K6*$K6+T6*T6+U6*U6+V6*V6)</f>
        <v>2.1477953556179776</v>
      </c>
    </row>
    <row r="7" spans="1:23" ht="15.75" thickBot="1" x14ac:dyDescent="0.3">
      <c r="A7" s="10" t="s">
        <v>27</v>
      </c>
      <c r="B7" s="12"/>
      <c r="C7" s="13"/>
      <c r="D7" s="14"/>
      <c r="E7" s="15">
        <f>SQRT(B6*B6+C6*C6+D6*D6+E6*E6)</f>
        <v>1.0219847412470888</v>
      </c>
      <c r="F7" s="14"/>
      <c r="G7" s="15">
        <f>SQRT(F6*F6+G6*G6)</f>
        <v>0.74290475732449923</v>
      </c>
      <c r="H7" s="13"/>
      <c r="I7" s="13"/>
      <c r="J7" s="14"/>
      <c r="K7" s="15">
        <f>SQRT(H6*H6+I6*I6+J6*J6+K6*K6)</f>
        <v>1.4574094348233455</v>
      </c>
      <c r="L7" s="16">
        <f>L6</f>
        <v>1.0751945334298472</v>
      </c>
      <c r="M7" s="14"/>
      <c r="N7" s="15">
        <f>SQRT(M6*M6+N6*N6)</f>
        <v>0.26981668973864226</v>
      </c>
      <c r="O7" s="16">
        <f>SQRT($E7*$E7+$G7*$G7+$K7*$K7+L7*L7+N7*N7)</f>
        <v>2.2246902888465847</v>
      </c>
      <c r="P7" s="16">
        <f>P6</f>
        <v>1.9057394450391485</v>
      </c>
      <c r="Q7" s="14"/>
      <c r="R7" s="15">
        <f>SQRT(Q6*Q6+R6*R6)</f>
        <v>8.7886854093713079E-2</v>
      </c>
      <c r="S7" s="16">
        <f>SQRT($E7*$E7+$G7*$G7+$K7*$K7+P7*P7+R7*R7)</f>
        <v>2.7129263687040912</v>
      </c>
      <c r="T7" s="16">
        <f>T6</f>
        <v>0.93623515534380031</v>
      </c>
      <c r="U7" s="14"/>
      <c r="V7" s="15">
        <f>SQRT(U6*U6+V6*V6)</f>
        <v>0.12683088347547744</v>
      </c>
      <c r="W7" s="16">
        <f>SQRT($E7*$E7+$G7*$G7+$K7*$K7+T7*T7+V7*V7)</f>
        <v>2.1477953556179776</v>
      </c>
    </row>
    <row r="8" spans="1:23" ht="15.75" thickTop="1" x14ac:dyDescent="0.25">
      <c r="A8" s="1" t="s">
        <v>31</v>
      </c>
      <c r="B8" s="4">
        <v>3.2969046839862099</v>
      </c>
      <c r="C8" s="4">
        <v>0.38733245000184902</v>
      </c>
      <c r="D8" s="4">
        <v>0.11009916500188401</v>
      </c>
      <c r="E8" s="3">
        <v>3.8039151249977201</v>
      </c>
      <c r="F8" s="4">
        <v>2.1307754589943202</v>
      </c>
      <c r="G8" s="3">
        <v>270.43669890599199</v>
      </c>
      <c r="H8" s="4">
        <v>0.22467510600108601</v>
      </c>
      <c r="I8" s="4">
        <v>25.724616664927499</v>
      </c>
      <c r="J8" s="4">
        <v>10.772802151739601</v>
      </c>
      <c r="K8" s="3">
        <v>517.09389600576799</v>
      </c>
      <c r="L8" s="5">
        <v>9.3200683540199005</v>
      </c>
      <c r="M8" s="4">
        <v>2.78948392090388</v>
      </c>
      <c r="N8" s="3">
        <v>0.65982709894888103</v>
      </c>
      <c r="P8" s="5">
        <v>18.033315929118501</v>
      </c>
      <c r="Q8" s="4">
        <v>2.92660765186884</v>
      </c>
      <c r="R8" s="3">
        <v>0.68391680298373103</v>
      </c>
      <c r="T8" s="5">
        <v>23.366385564906501</v>
      </c>
      <c r="U8" s="4">
        <v>3.32951437216252</v>
      </c>
      <c r="V8" s="3">
        <v>1.08779102913104</v>
      </c>
    </row>
    <row r="9" spans="1:23" x14ac:dyDescent="0.25">
      <c r="B9" s="4">
        <v>1.55770756000129</v>
      </c>
      <c r="C9" s="4">
        <v>0.37679073099570798</v>
      </c>
      <c r="D9" s="4">
        <v>0.113234427000861</v>
      </c>
      <c r="E9" s="3">
        <v>3.2732363440009</v>
      </c>
      <c r="F9" s="4">
        <v>2.16639800200937</v>
      </c>
      <c r="G9" s="3">
        <v>270.40921151600099</v>
      </c>
      <c r="H9" s="4">
        <v>0.22195389500120599</v>
      </c>
      <c r="I9" s="4">
        <v>26.134798849001498</v>
      </c>
      <c r="J9" s="4">
        <v>10.529984558932499</v>
      </c>
      <c r="K9" s="3">
        <v>515.85310851736006</v>
      </c>
      <c r="L9" s="5">
        <v>9.9309066939167696</v>
      </c>
      <c r="M9" s="4">
        <v>2.5766039311420199</v>
      </c>
      <c r="N9" s="3">
        <v>0.27131525194272399</v>
      </c>
      <c r="P9" s="5">
        <v>17.030741003807599</v>
      </c>
      <c r="Q9" s="4">
        <v>2.7720391310285799</v>
      </c>
      <c r="R9" s="3">
        <v>0.279681739164516</v>
      </c>
      <c r="T9" s="5">
        <v>24.0539002439473</v>
      </c>
      <c r="U9" s="4">
        <v>2.9655500089284001</v>
      </c>
      <c r="V9" s="3">
        <v>0.68549648299813304</v>
      </c>
    </row>
    <row r="10" spans="1:23" x14ac:dyDescent="0.25">
      <c r="B10" s="4">
        <v>4.2874918439920204</v>
      </c>
      <c r="C10" s="4">
        <v>0.380073292995803</v>
      </c>
      <c r="D10" s="4">
        <v>0.10956342099234399</v>
      </c>
      <c r="E10" s="3">
        <v>3.3569017160043502</v>
      </c>
      <c r="F10" s="4">
        <v>2.07062628099811</v>
      </c>
      <c r="G10" s="3">
        <v>270.257741157998</v>
      </c>
      <c r="H10" s="4">
        <v>0.221360288007417</v>
      </c>
      <c r="I10" s="4">
        <v>25.080830936785802</v>
      </c>
      <c r="J10" s="4">
        <v>10.6393353911117</v>
      </c>
      <c r="K10" s="3">
        <v>515.25392990699004</v>
      </c>
      <c r="L10" s="5">
        <v>9.5421724480111205</v>
      </c>
      <c r="M10" s="4">
        <v>2.4488683810923302</v>
      </c>
      <c r="N10" s="3">
        <v>0.25886601209640497</v>
      </c>
      <c r="P10" s="5">
        <v>17.0095857060514</v>
      </c>
      <c r="Q10" s="4">
        <v>2.8459668790455899</v>
      </c>
      <c r="R10" s="3">
        <v>0.28435920504853102</v>
      </c>
      <c r="T10" s="5">
        <v>23.521194005850699</v>
      </c>
      <c r="U10" s="4">
        <v>2.8791315690614301</v>
      </c>
      <c r="V10" s="3">
        <v>0.67431974108330905</v>
      </c>
    </row>
    <row r="11" spans="1:23" x14ac:dyDescent="0.25">
      <c r="B11" s="4">
        <v>1.541512382988</v>
      </c>
      <c r="C11" s="4">
        <v>0.38405982599942901</v>
      </c>
      <c r="D11" s="4">
        <v>0.111453853998682</v>
      </c>
      <c r="E11" s="3">
        <v>2.87638412500382</v>
      </c>
      <c r="F11" s="4">
        <v>2.0792786370002401</v>
      </c>
      <c r="G11" s="3">
        <v>270.650181432007</v>
      </c>
      <c r="H11" s="4">
        <v>0.22269647900247899</v>
      </c>
      <c r="I11" s="4">
        <v>24.575026192236699</v>
      </c>
      <c r="J11" s="4">
        <v>10.8300057039596</v>
      </c>
      <c r="K11" s="3">
        <v>515.58469938021199</v>
      </c>
      <c r="L11" s="5">
        <v>10.270098827080799</v>
      </c>
      <c r="M11" s="4">
        <v>2.77608398697339</v>
      </c>
      <c r="N11" s="3">
        <v>0.25924952095374498</v>
      </c>
      <c r="P11" s="5">
        <v>18.475904086837499</v>
      </c>
      <c r="Q11" s="4">
        <v>2.8787106520030599</v>
      </c>
      <c r="R11" s="3">
        <v>0.28000326501205602</v>
      </c>
      <c r="T11" s="5">
        <v>22.4202262759209</v>
      </c>
      <c r="U11" s="4">
        <v>2.7938313980121201</v>
      </c>
      <c r="V11" s="3">
        <v>0.67951488401740801</v>
      </c>
    </row>
    <row r="12" spans="1:23" x14ac:dyDescent="0.25">
      <c r="B12" s="4">
        <v>1.52540455400594</v>
      </c>
      <c r="C12" s="4">
        <v>0.38222510198829601</v>
      </c>
      <c r="D12" s="4">
        <v>0.108348118999856</v>
      </c>
      <c r="E12" s="3">
        <v>3.0844984389987</v>
      </c>
      <c r="F12" s="4">
        <v>2.04884966599638</v>
      </c>
      <c r="G12" s="3">
        <v>270.438141354999</v>
      </c>
      <c r="H12" s="4">
        <v>0.22377538199361799</v>
      </c>
      <c r="I12" s="4">
        <v>25.719927747733902</v>
      </c>
      <c r="J12" s="4">
        <v>10.689409707672899</v>
      </c>
      <c r="K12" s="3">
        <v>516.144892896991</v>
      </c>
      <c r="L12" s="5">
        <v>11.9510430528317</v>
      </c>
      <c r="M12" s="4">
        <v>2.5344264530576801</v>
      </c>
      <c r="N12" s="3">
        <v>0.25569901894778002</v>
      </c>
      <c r="P12" s="5">
        <v>19.390423594042701</v>
      </c>
      <c r="Q12" s="4">
        <v>2.66336159291677</v>
      </c>
      <c r="R12" s="3">
        <v>0.28492021095007702</v>
      </c>
      <c r="T12" s="5">
        <v>23.111880472861198</v>
      </c>
      <c r="U12" s="4">
        <v>2.8998091230168899</v>
      </c>
      <c r="V12" s="3">
        <v>0.68453056388534606</v>
      </c>
    </row>
    <row r="13" spans="1:23" x14ac:dyDescent="0.25">
      <c r="B13" s="4">
        <v>1.7935470650117999</v>
      </c>
      <c r="C13" s="4">
        <v>0.40710138999565898</v>
      </c>
      <c r="D13" s="4">
        <v>0.109580199990887</v>
      </c>
      <c r="E13" s="3">
        <v>2.66199108900036</v>
      </c>
      <c r="F13" s="4">
        <v>2.1911256900057099</v>
      </c>
      <c r="G13" s="3">
        <v>270.09896707799601</v>
      </c>
      <c r="H13" s="4">
        <v>0.22241348501120201</v>
      </c>
      <c r="I13" s="4">
        <v>25.152864698786299</v>
      </c>
      <c r="J13" s="4">
        <v>10.932955683674701</v>
      </c>
      <c r="K13" s="3">
        <v>515.88731945585505</v>
      </c>
      <c r="L13" s="5">
        <v>10.2474315520376</v>
      </c>
      <c r="M13" s="4">
        <v>2.6582335140556101</v>
      </c>
      <c r="N13" s="3">
        <v>0.25765195884741798</v>
      </c>
      <c r="P13" s="5">
        <v>18.591774257132801</v>
      </c>
      <c r="Q13" s="4">
        <v>2.7020107379648799</v>
      </c>
      <c r="R13" s="3">
        <v>0.30366181605495501</v>
      </c>
      <c r="T13" s="5">
        <v>21.634859943995298</v>
      </c>
      <c r="U13" s="4">
        <v>3.1122318140696699</v>
      </c>
      <c r="V13" s="3">
        <v>0.69780181278474596</v>
      </c>
    </row>
    <row r="14" spans="1:23" x14ac:dyDescent="0.25">
      <c r="B14" s="4">
        <v>1.54044511199754</v>
      </c>
      <c r="C14" s="4">
        <v>0.38969620400166599</v>
      </c>
      <c r="D14" s="4">
        <v>0.109349668011418</v>
      </c>
      <c r="E14" s="3">
        <v>2.6644681250036202</v>
      </c>
      <c r="F14" s="4">
        <v>2.0881792169966502</v>
      </c>
      <c r="G14" s="3">
        <v>269.83751975699801</v>
      </c>
      <c r="H14" s="4">
        <v>0.221133491999353</v>
      </c>
      <c r="I14" s="4">
        <v>26.105667610187101</v>
      </c>
      <c r="J14" s="4">
        <v>10.9858307940885</v>
      </c>
      <c r="K14" s="3">
        <v>516.225158031099</v>
      </c>
      <c r="L14" s="5">
        <v>9.5216749322135001</v>
      </c>
      <c r="M14" s="4">
        <v>2.6068833088502301</v>
      </c>
      <c r="N14" s="3">
        <v>0.24836927303112999</v>
      </c>
      <c r="P14" s="5">
        <v>18.154785162070802</v>
      </c>
      <c r="Q14" s="4">
        <v>2.7828083890490198</v>
      </c>
      <c r="R14" s="3">
        <v>0.28466532821766999</v>
      </c>
      <c r="T14" s="5">
        <v>22.452988518169199</v>
      </c>
      <c r="U14" s="4">
        <v>2.8372444759588702</v>
      </c>
      <c r="V14" s="3">
        <v>0.69580122781917497</v>
      </c>
    </row>
    <row r="15" spans="1:23" x14ac:dyDescent="0.25">
      <c r="B15" s="4">
        <v>1.6164920220035099</v>
      </c>
      <c r="C15" s="4">
        <v>0.369910569992498</v>
      </c>
      <c r="D15" s="4">
        <v>0.10895303600409501</v>
      </c>
      <c r="E15" s="3">
        <v>2.6435329719970402</v>
      </c>
      <c r="F15" s="4">
        <v>2.1755016800016098</v>
      </c>
      <c r="G15" s="3">
        <v>270.27967545800402</v>
      </c>
      <c r="H15" s="4">
        <v>0.222411050999653</v>
      </c>
      <c r="I15" s="4">
        <v>25.419091179966902</v>
      </c>
      <c r="J15" s="4">
        <v>10.8783083041199</v>
      </c>
      <c r="K15" s="3">
        <v>516.28590844478504</v>
      </c>
      <c r="L15" s="5">
        <v>9.0732214429881406</v>
      </c>
      <c r="M15" s="4">
        <v>3.0260318832006301</v>
      </c>
      <c r="N15" s="3">
        <v>0.25776305096224</v>
      </c>
      <c r="P15" s="5">
        <v>18.869107693899402</v>
      </c>
      <c r="Q15" s="4">
        <v>2.6104822750203298</v>
      </c>
      <c r="R15" s="3">
        <v>0.28334091603756001</v>
      </c>
      <c r="T15" s="5">
        <v>22.2769515891559</v>
      </c>
      <c r="U15" s="4">
        <v>3.1898061938118198</v>
      </c>
      <c r="V15" s="3">
        <v>0.68851018883287896</v>
      </c>
    </row>
    <row r="16" spans="1:23" x14ac:dyDescent="0.25">
      <c r="B16" s="4">
        <v>4.5495351879944703</v>
      </c>
      <c r="C16" s="4">
        <v>0.37923274700005999</v>
      </c>
      <c r="D16" s="4">
        <v>0.108021719992393</v>
      </c>
      <c r="E16" s="3">
        <v>2.71188852099294</v>
      </c>
      <c r="F16" s="4">
        <v>2.1295748219999902</v>
      </c>
      <c r="G16" s="3">
        <v>270.131915439007</v>
      </c>
      <c r="H16" s="4">
        <v>0.22727842698805001</v>
      </c>
      <c r="I16" s="4">
        <v>26.769733997061898</v>
      </c>
      <c r="J16" s="4">
        <v>11.0739436540753</v>
      </c>
      <c r="K16" s="3">
        <v>519.11095042480201</v>
      </c>
      <c r="L16" s="5">
        <v>9.4363599710632098</v>
      </c>
      <c r="M16" s="4">
        <v>2.8001896650530398</v>
      </c>
      <c r="N16" s="3">
        <v>0.26097210403531801</v>
      </c>
      <c r="P16" s="5">
        <v>19.230649722972899</v>
      </c>
      <c r="Q16" s="4">
        <v>2.9057467591483102</v>
      </c>
      <c r="R16" s="3">
        <v>0.284772191895172</v>
      </c>
      <c r="T16" s="5">
        <v>22.083927612984599</v>
      </c>
      <c r="U16" s="4">
        <v>2.8818212971091302</v>
      </c>
      <c r="V16" s="3">
        <v>0.68261558399535704</v>
      </c>
    </row>
    <row r="17" spans="2:22" x14ac:dyDescent="0.25">
      <c r="B17" s="4">
        <v>3.2750099620025099</v>
      </c>
      <c r="C17" s="4">
        <v>0.37969396699918401</v>
      </c>
      <c r="D17" s="4">
        <v>0.108245613009785</v>
      </c>
      <c r="E17" s="3">
        <v>2.6531292399886199</v>
      </c>
      <c r="F17" s="4">
        <v>2.0962101290060602</v>
      </c>
      <c r="G17" s="3">
        <v>270.599750860987</v>
      </c>
      <c r="H17" s="4">
        <v>0.22217245599313101</v>
      </c>
      <c r="I17" s="4">
        <v>27.078976105898601</v>
      </c>
      <c r="J17" s="4">
        <v>10.737169044092299</v>
      </c>
      <c r="K17" s="3">
        <v>516.34339336818095</v>
      </c>
      <c r="L17" s="5">
        <v>9.3975855840835703</v>
      </c>
      <c r="M17" s="4">
        <v>3.1319102728739399</v>
      </c>
      <c r="N17" s="3">
        <v>0.25094272289425101</v>
      </c>
      <c r="P17" s="5">
        <v>18.679358466062698</v>
      </c>
      <c r="Q17" s="4">
        <v>2.8280991888605098</v>
      </c>
      <c r="R17" s="3">
        <v>0.275147245964035</v>
      </c>
      <c r="T17" s="5">
        <v>22.287503110012</v>
      </c>
      <c r="U17" s="4">
        <v>2.8863899069838199</v>
      </c>
      <c r="V17" s="3">
        <v>0.67180788493715204</v>
      </c>
    </row>
    <row r="18" spans="2:22" x14ac:dyDescent="0.25">
      <c r="B18" s="4">
        <v>1.5448672440106701</v>
      </c>
      <c r="C18" s="4">
        <v>0.39905622901278498</v>
      </c>
      <c r="D18" s="4">
        <v>0.110054020013194</v>
      </c>
      <c r="E18" s="3">
        <v>2.644068056994</v>
      </c>
      <c r="F18" s="4">
        <v>2.0767951940069902</v>
      </c>
      <c r="G18" s="3">
        <v>272.67234119898001</v>
      </c>
      <c r="H18" s="4">
        <v>0.22237456600123501</v>
      </c>
      <c r="I18" s="4">
        <v>26.0221263933927</v>
      </c>
      <c r="J18" s="4">
        <v>10.667967470828399</v>
      </c>
      <c r="K18" s="3">
        <v>515.50943767698504</v>
      </c>
      <c r="L18" s="5">
        <v>10.098091190913699</v>
      </c>
      <c r="M18" s="4">
        <v>2.6877600038424099</v>
      </c>
      <c r="N18" s="3">
        <v>0.25353824091143901</v>
      </c>
      <c r="P18" s="5">
        <v>20.010599907953299</v>
      </c>
      <c r="Q18" s="4">
        <v>2.7238795550074402</v>
      </c>
      <c r="R18" s="3">
        <v>0.28575092414393999</v>
      </c>
      <c r="T18" s="5">
        <v>22.489009723067301</v>
      </c>
      <c r="U18" s="4">
        <v>2.7913392630871399</v>
      </c>
      <c r="V18" s="3">
        <v>0.67599664302542795</v>
      </c>
    </row>
    <row r="19" spans="2:22" x14ac:dyDescent="0.25">
      <c r="B19" s="4">
        <v>4.0255993789905897</v>
      </c>
      <c r="C19" s="4">
        <v>0.40031602799717803</v>
      </c>
      <c r="D19" s="4">
        <v>0.107899613998597</v>
      </c>
      <c r="E19" s="3">
        <v>2.7008684079919401</v>
      </c>
      <c r="F19" s="4">
        <v>1.9076618990075001</v>
      </c>
      <c r="G19" s="3">
        <v>273.06235907299498</v>
      </c>
      <c r="H19" s="4">
        <v>0.222555516011198</v>
      </c>
      <c r="I19" s="4">
        <v>24.7784555708058</v>
      </c>
      <c r="J19" s="4">
        <v>11.206323001999399</v>
      </c>
      <c r="K19" s="3">
        <v>515.81175441900302</v>
      </c>
      <c r="L19" s="5">
        <v>9.5397841469384694</v>
      </c>
      <c r="M19" s="4">
        <v>3.00679982011206</v>
      </c>
      <c r="N19" s="3">
        <v>0.26075554010458302</v>
      </c>
      <c r="P19" s="5">
        <v>18.124049637932298</v>
      </c>
      <c r="Q19" s="4">
        <v>2.6500554669182699</v>
      </c>
      <c r="R19" s="3">
        <v>0.28791173500940198</v>
      </c>
      <c r="T19" s="5">
        <v>21.828431047964798</v>
      </c>
      <c r="U19" s="4">
        <v>3.2154479939490601</v>
      </c>
      <c r="V19" s="3">
        <v>0.68742367601953502</v>
      </c>
    </row>
    <row r="20" spans="2:22" x14ac:dyDescent="0.25">
      <c r="B20" s="4">
        <v>1.53920666901103</v>
      </c>
      <c r="C20" s="4">
        <v>0.39517963999242001</v>
      </c>
      <c r="D20" s="4">
        <v>0.110064072010573</v>
      </c>
      <c r="E20" s="3">
        <v>2.6662205980101099</v>
      </c>
      <c r="F20" s="4">
        <v>1.9011064429942</v>
      </c>
      <c r="G20" s="3">
        <v>272.95190156201699</v>
      </c>
      <c r="H20" s="4">
        <v>0.221432475998881</v>
      </c>
      <c r="I20" s="4">
        <v>25.857222734950501</v>
      </c>
      <c r="J20" s="4">
        <v>10.440798623021699</v>
      </c>
      <c r="K20" s="3">
        <v>516.33680973015703</v>
      </c>
      <c r="L20" s="5">
        <v>9.3594250599853694</v>
      </c>
      <c r="M20" s="4">
        <v>2.6346713548991798</v>
      </c>
      <c r="N20" s="3">
        <v>0.26237165415659502</v>
      </c>
      <c r="P20" s="5">
        <v>18.420628185151099</v>
      </c>
      <c r="Q20" s="4">
        <v>2.6502375919371799</v>
      </c>
      <c r="R20" s="3">
        <v>0.32556948903948102</v>
      </c>
      <c r="T20" s="5">
        <v>22.922043146099899</v>
      </c>
      <c r="U20" s="4">
        <v>3.1269316768739399</v>
      </c>
      <c r="V20" s="3">
        <v>0.676459856098518</v>
      </c>
    </row>
    <row r="21" spans="2:22" x14ac:dyDescent="0.25">
      <c r="B21" s="4">
        <v>1.5393633020139501</v>
      </c>
      <c r="C21" s="4">
        <v>0.38168377100373602</v>
      </c>
      <c r="D21" s="4">
        <v>0.10758242700831</v>
      </c>
      <c r="E21" s="3">
        <v>2.6950902440003102</v>
      </c>
      <c r="F21" s="4">
        <v>1.9036706500046401</v>
      </c>
      <c r="G21" s="3">
        <v>272.50863352100703</v>
      </c>
      <c r="H21" s="4">
        <v>0.222721445999923</v>
      </c>
      <c r="I21" s="4">
        <v>25.3543924447149</v>
      </c>
      <c r="J21" s="4">
        <v>10.7053571818396</v>
      </c>
      <c r="K21" s="3">
        <v>516.42767256218895</v>
      </c>
      <c r="L21" s="5">
        <v>9.2898169010877591</v>
      </c>
      <c r="M21" s="4">
        <v>2.6915773579385101</v>
      </c>
      <c r="N21" s="3">
        <v>0.26335054310038702</v>
      </c>
      <c r="P21" s="5">
        <v>21.277730937115798</v>
      </c>
      <c r="Q21" s="4">
        <v>2.69053872884251</v>
      </c>
      <c r="R21" s="3">
        <v>0.28446390898898199</v>
      </c>
      <c r="T21" s="5">
        <v>22.298488614847901</v>
      </c>
      <c r="U21" s="4">
        <v>3.0031001048628201</v>
      </c>
      <c r="V21" s="3">
        <v>0.68282925314270004</v>
      </c>
    </row>
    <row r="22" spans="2:22" x14ac:dyDescent="0.25">
      <c r="B22" s="4">
        <v>4.2770451000105796</v>
      </c>
      <c r="C22" s="4">
        <v>0.39013005701417502</v>
      </c>
      <c r="D22" s="4">
        <v>0.109853068002848</v>
      </c>
      <c r="E22" s="3">
        <v>2.6529771810019098</v>
      </c>
      <c r="F22" s="4">
        <v>1.88475930500135</v>
      </c>
      <c r="G22" s="3">
        <v>271.55802400101601</v>
      </c>
      <c r="H22" s="4">
        <v>0.226307996010291</v>
      </c>
      <c r="I22" s="4">
        <v>25.229692496824999</v>
      </c>
      <c r="J22" s="4">
        <v>11.0040712002665</v>
      </c>
      <c r="K22" s="3">
        <v>515.65834239171795</v>
      </c>
      <c r="L22" s="5">
        <v>9.5239929470699298</v>
      </c>
      <c r="M22" s="4">
        <v>2.88626657705754</v>
      </c>
      <c r="N22" s="3">
        <v>0.277299145003781</v>
      </c>
      <c r="P22" s="5">
        <v>18.7357718709391</v>
      </c>
      <c r="Q22" s="4">
        <v>2.8734472370706499</v>
      </c>
      <c r="R22" s="3">
        <v>0.28822016716003401</v>
      </c>
      <c r="T22" s="5">
        <v>22.411504611140099</v>
      </c>
      <c r="U22" s="4">
        <v>2.9681143539492001</v>
      </c>
      <c r="V22" s="3">
        <v>0.70310980896465503</v>
      </c>
    </row>
    <row r="23" spans="2:22" x14ac:dyDescent="0.25">
      <c r="B23" s="4">
        <v>1.52289010499953</v>
      </c>
      <c r="C23" s="4">
        <v>0.38943090698739902</v>
      </c>
      <c r="D23" s="4">
        <v>0.110425425009452</v>
      </c>
      <c r="E23" s="3">
        <v>2.6593941579922098</v>
      </c>
      <c r="F23" s="4">
        <v>1.9526204499998101</v>
      </c>
      <c r="G23" s="3">
        <v>271.262494288006</v>
      </c>
      <c r="H23" s="4">
        <v>0.22469924000324601</v>
      </c>
      <c r="I23" s="4">
        <v>24.725100724957901</v>
      </c>
      <c r="J23" s="4">
        <v>10.5744084739126</v>
      </c>
      <c r="K23" s="3">
        <v>515.82196406833805</v>
      </c>
      <c r="L23" s="5">
        <v>9.1452929452061706</v>
      </c>
      <c r="M23" s="4">
        <v>2.64253255189396</v>
      </c>
      <c r="N23" s="3">
        <v>0.25694873114116501</v>
      </c>
      <c r="P23" s="5">
        <v>18.805637905839799</v>
      </c>
      <c r="Q23" s="4">
        <v>2.6543586740735901</v>
      </c>
      <c r="R23" s="3">
        <v>0.29258599900640597</v>
      </c>
      <c r="T23" s="5">
        <v>22.4013844211586</v>
      </c>
      <c r="U23" s="4">
        <v>2.8967992060352099</v>
      </c>
      <c r="V23" s="3">
        <v>0.69056305382400796</v>
      </c>
    </row>
    <row r="24" spans="2:22" x14ac:dyDescent="0.25">
      <c r="B24" s="4">
        <v>1.53321599699847</v>
      </c>
      <c r="C24" s="4">
        <v>0.38015539699699702</v>
      </c>
      <c r="D24" s="4">
        <v>0.109606108002481</v>
      </c>
      <c r="E24" s="3">
        <v>2.4830665980116402</v>
      </c>
      <c r="F24" s="4">
        <v>1.8940800640120801</v>
      </c>
      <c r="G24" s="3">
        <v>272.67399157001603</v>
      </c>
      <c r="H24" s="4">
        <v>0.223623292011325</v>
      </c>
      <c r="I24" s="4">
        <v>25.025596908759301</v>
      </c>
      <c r="J24" s="4">
        <v>10.659672758076301</v>
      </c>
      <c r="K24" s="3">
        <v>516.17045615101199</v>
      </c>
      <c r="L24" s="5">
        <v>9.4542619029525703</v>
      </c>
      <c r="M24" s="4">
        <v>2.7930018249899198</v>
      </c>
      <c r="N24" s="3">
        <v>0.25179876107722499</v>
      </c>
      <c r="P24" s="5">
        <v>18.6382465069182</v>
      </c>
      <c r="Q24" s="4">
        <v>2.7030229209922298</v>
      </c>
      <c r="R24" s="3">
        <v>0.28446740400977399</v>
      </c>
      <c r="T24" s="5">
        <v>22.349190992070401</v>
      </c>
      <c r="U24" s="4">
        <v>3.1691852628719102</v>
      </c>
      <c r="V24" s="3">
        <v>0.68164903903380003</v>
      </c>
    </row>
    <row r="25" spans="2:22" x14ac:dyDescent="0.25">
      <c r="B25" s="4">
        <v>4.0376176839927203</v>
      </c>
      <c r="C25" s="4">
        <v>0.36937100799695999</v>
      </c>
      <c r="D25" s="4">
        <v>0.108631996001349</v>
      </c>
      <c r="E25" s="3">
        <v>2.1737287440046198</v>
      </c>
      <c r="F25" s="4">
        <v>1.86185843900602</v>
      </c>
      <c r="G25" s="3">
        <v>272.58318479300902</v>
      </c>
      <c r="H25" s="4">
        <v>0.22151234099874201</v>
      </c>
      <c r="I25" s="4">
        <v>24.867426089011101</v>
      </c>
      <c r="J25" s="4">
        <v>10.824538732878899</v>
      </c>
      <c r="K25" s="3">
        <v>514.87327914917796</v>
      </c>
      <c r="L25" s="5">
        <v>9.1991210298147106</v>
      </c>
      <c r="M25" s="4">
        <v>3.1604363359510899</v>
      </c>
      <c r="N25" s="3">
        <v>0.25752227986231402</v>
      </c>
      <c r="P25" s="5">
        <v>17.4379673181102</v>
      </c>
      <c r="Q25" s="4">
        <v>2.8953148939181101</v>
      </c>
      <c r="R25" s="3">
        <v>0.40235833521001002</v>
      </c>
      <c r="T25" s="5">
        <v>22.022332601016402</v>
      </c>
      <c r="U25" s="4">
        <v>2.9724718530196701</v>
      </c>
      <c r="V25" s="3">
        <v>0.71776828588917896</v>
      </c>
    </row>
    <row r="26" spans="2:22" x14ac:dyDescent="0.25">
      <c r="B26" s="4">
        <v>1.5382550700014599</v>
      </c>
      <c r="C26" s="4">
        <v>0.40713559499999902</v>
      </c>
      <c r="D26" s="4">
        <v>0.10945402699871901</v>
      </c>
      <c r="E26" s="3">
        <v>2.14143654200597</v>
      </c>
      <c r="F26" s="4">
        <v>1.8789659739995801</v>
      </c>
      <c r="G26" s="3">
        <v>272.71350964001601</v>
      </c>
      <c r="H26" s="4">
        <v>0.225816908001434</v>
      </c>
      <c r="I26" s="4">
        <v>25.4600491849706</v>
      </c>
      <c r="J26" s="4">
        <v>16.495984627865301</v>
      </c>
      <c r="K26" s="3">
        <v>516.44791491981596</v>
      </c>
      <c r="L26" s="5">
        <v>9.8302553419489396</v>
      </c>
      <c r="M26" s="4">
        <v>3.1607926608994599</v>
      </c>
      <c r="N26" s="3">
        <v>0.25584178790450102</v>
      </c>
      <c r="P26" s="5">
        <v>17.200672707986101</v>
      </c>
      <c r="Q26" s="4">
        <v>2.6898136280942699</v>
      </c>
      <c r="R26" s="3">
        <v>0.31541896099224698</v>
      </c>
      <c r="T26" s="5">
        <v>23.1276235100813</v>
      </c>
      <c r="U26" s="4">
        <v>3.2302738400176199</v>
      </c>
      <c r="V26" s="3">
        <v>0.71456654299981903</v>
      </c>
    </row>
    <row r="27" spans="2:22" x14ac:dyDescent="0.25">
      <c r="B27" s="4">
        <v>1.54266593599459</v>
      </c>
      <c r="C27" s="4">
        <v>0.40211169599206098</v>
      </c>
      <c r="D27" s="4">
        <v>0.10979274701094199</v>
      </c>
      <c r="E27" s="3">
        <v>2.1050625509960801</v>
      </c>
      <c r="F27" s="4">
        <v>1.8944530219887299</v>
      </c>
      <c r="G27" s="3">
        <v>272.60617484099902</v>
      </c>
      <c r="H27" s="4">
        <v>0.222695410993765</v>
      </c>
      <c r="I27" s="4">
        <v>24.927818981930599</v>
      </c>
      <c r="J27" s="4">
        <v>12.8911299319007</v>
      </c>
      <c r="K27" s="3">
        <v>516.66331139998499</v>
      </c>
      <c r="L27" s="5">
        <v>9.0111793060787004</v>
      </c>
      <c r="M27" s="4">
        <v>3.28776215203106</v>
      </c>
      <c r="N27" s="3">
        <v>0.258563271025196</v>
      </c>
      <c r="P27" s="5">
        <v>16.7275866190903</v>
      </c>
      <c r="Q27" s="4">
        <v>2.6396880110260099</v>
      </c>
      <c r="R27" s="3">
        <v>0.297298446996138</v>
      </c>
      <c r="T27" s="5">
        <v>21.9961054238956</v>
      </c>
      <c r="U27" s="4">
        <v>3.0766082301270199</v>
      </c>
      <c r="V27" s="3">
        <v>0.69365127594210196</v>
      </c>
    </row>
    <row r="28" spans="2:22" x14ac:dyDescent="0.25">
      <c r="B28" s="4">
        <v>1.3092925160017299</v>
      </c>
      <c r="C28" s="4">
        <v>0.40263164900534298</v>
      </c>
      <c r="D28" s="4">
        <v>0.108350524998968</v>
      </c>
      <c r="E28" s="3">
        <v>1.9914940759917901</v>
      </c>
      <c r="F28" s="4">
        <v>1.8521904219960501</v>
      </c>
      <c r="G28" s="3">
        <v>272.55440601598798</v>
      </c>
      <c r="H28" s="4">
        <v>0.221987739991163</v>
      </c>
      <c r="I28" s="4">
        <v>25.068821294233199</v>
      </c>
      <c r="J28" s="4">
        <v>11.1422621747479</v>
      </c>
      <c r="K28" s="3">
        <v>516.25609155325196</v>
      </c>
      <c r="L28" s="5">
        <v>9.3204553790856206</v>
      </c>
      <c r="M28" s="4">
        <v>2.8899951369967298</v>
      </c>
      <c r="N28" s="3">
        <v>0.26465351693332201</v>
      </c>
      <c r="P28" s="5">
        <v>18.829932207008799</v>
      </c>
      <c r="Q28" s="4">
        <v>2.7918736869469298</v>
      </c>
      <c r="R28" s="3">
        <v>0.30245934403501501</v>
      </c>
      <c r="T28" s="5">
        <v>22.992068087915001</v>
      </c>
      <c r="U28" s="4">
        <v>2.9150751961860801</v>
      </c>
      <c r="V28" s="3">
        <v>0.69390316214412495</v>
      </c>
    </row>
    <row r="29" spans="2:22" x14ac:dyDescent="0.25">
      <c r="B29" s="4">
        <v>1.5530811339995101</v>
      </c>
      <c r="C29" s="4">
        <v>0.381246017001103</v>
      </c>
      <c r="D29" s="4">
        <v>0.10841209499630999</v>
      </c>
      <c r="E29" s="3">
        <v>2.1947981590055798</v>
      </c>
      <c r="F29" s="4">
        <v>1.8134049720101699</v>
      </c>
      <c r="G29" s="3">
        <v>273.98220817401301</v>
      </c>
      <c r="H29" s="4">
        <v>0.22566867800196599</v>
      </c>
      <c r="I29" s="4">
        <v>26.0575494188815</v>
      </c>
      <c r="J29" s="4">
        <v>11.207066052127599</v>
      </c>
      <c r="K29" s="3">
        <v>515.47444025892798</v>
      </c>
      <c r="L29" s="5">
        <v>9.4178056609816903</v>
      </c>
      <c r="M29" s="4">
        <v>2.81837723590434</v>
      </c>
      <c r="N29" s="3">
        <v>0.262291894061491</v>
      </c>
      <c r="P29" s="5">
        <v>20.3286896159407</v>
      </c>
      <c r="Q29" s="4">
        <v>2.7534884989727302</v>
      </c>
      <c r="R29" s="3">
        <v>0.29850989300757602</v>
      </c>
      <c r="T29" s="5">
        <v>22.053371375892301</v>
      </c>
      <c r="U29" s="4">
        <v>2.9113289909437299</v>
      </c>
      <c r="V29" s="3">
        <v>0.69037804286926996</v>
      </c>
    </row>
    <row r="30" spans="2:22" x14ac:dyDescent="0.25">
      <c r="B30" s="4">
        <v>2.5498445460107102</v>
      </c>
      <c r="C30" s="4">
        <v>0.37238745400099998</v>
      </c>
      <c r="D30" s="4">
        <v>0.109532921997015</v>
      </c>
      <c r="E30" s="3">
        <v>2.07809235599415</v>
      </c>
      <c r="F30" s="4">
        <v>1.8144390639936301</v>
      </c>
      <c r="G30" s="3">
        <v>272.40097312501098</v>
      </c>
      <c r="H30" s="4">
        <v>0.22446127400325999</v>
      </c>
      <c r="I30" s="4">
        <v>24.850777689367501</v>
      </c>
      <c r="J30" s="4">
        <v>11.406786501873301</v>
      </c>
      <c r="K30" s="3">
        <v>515.87089814199101</v>
      </c>
      <c r="L30" s="5">
        <v>9.5142479310743493</v>
      </c>
      <c r="M30" s="4">
        <v>2.7451271959580499</v>
      </c>
      <c r="N30" s="3">
        <v>0.249610301107168</v>
      </c>
      <c r="P30" s="5">
        <v>17.005110884085301</v>
      </c>
      <c r="Q30" s="4">
        <v>2.7759353818837602</v>
      </c>
      <c r="R30" s="3">
        <v>0.346798872109503</v>
      </c>
      <c r="T30" s="5">
        <v>22.609090314013901</v>
      </c>
      <c r="U30" s="4">
        <v>2.8262032340280698</v>
      </c>
      <c r="V30" s="3">
        <v>0.70654141204431697</v>
      </c>
    </row>
    <row r="31" spans="2:22" x14ac:dyDescent="0.25">
      <c r="B31" s="4">
        <v>1.55150110200338</v>
      </c>
      <c r="C31" s="4">
        <v>0.39218928200716602</v>
      </c>
      <c r="D31" s="4">
        <v>0.107493029005127</v>
      </c>
      <c r="E31" s="3">
        <v>2.10234308999497</v>
      </c>
      <c r="F31" s="4">
        <v>1.9195522890076899</v>
      </c>
      <c r="G31" s="3">
        <v>272.63610333300301</v>
      </c>
      <c r="H31" s="4">
        <v>0.22328618899336999</v>
      </c>
      <c r="I31" s="4">
        <v>26.3625420629978</v>
      </c>
      <c r="J31" s="4">
        <v>10.890599580016</v>
      </c>
      <c r="K31" s="3">
        <v>515.29871225636498</v>
      </c>
      <c r="L31" s="5">
        <v>9.3795256679877603</v>
      </c>
      <c r="M31" s="4">
        <v>2.6453508690465202</v>
      </c>
      <c r="N31" s="3">
        <v>0.269539800938219</v>
      </c>
      <c r="P31" s="5">
        <v>18.413606266956801</v>
      </c>
      <c r="Q31" s="4">
        <v>2.6924068401567598</v>
      </c>
      <c r="R31" s="3">
        <v>0.29537710291333502</v>
      </c>
      <c r="T31" s="5">
        <v>21.789368139114199</v>
      </c>
      <c r="U31" s="4">
        <v>2.8243531410116698</v>
      </c>
      <c r="V31" s="3">
        <v>0.69739395193755604</v>
      </c>
    </row>
    <row r="32" spans="2:22" x14ac:dyDescent="0.25">
      <c r="B32" s="4">
        <v>1.2685671059880399</v>
      </c>
      <c r="C32" s="4">
        <v>0.38329990200872999</v>
      </c>
      <c r="D32" s="4">
        <v>0.108114125003339</v>
      </c>
      <c r="E32" s="3">
        <v>2.1252766789984801</v>
      </c>
      <c r="F32" s="4">
        <v>1.91657928400672</v>
      </c>
      <c r="G32" s="3">
        <v>273.06947292201198</v>
      </c>
      <c r="H32" s="4">
        <v>0.221207374997902</v>
      </c>
      <c r="I32" s="4">
        <v>24.937125975731799</v>
      </c>
      <c r="J32" s="4">
        <v>10.970637611113499</v>
      </c>
      <c r="K32" s="3">
        <v>516.14795387489698</v>
      </c>
      <c r="L32" s="5">
        <v>9.3094605121295899</v>
      </c>
      <c r="M32" s="4">
        <v>2.5778785690199602</v>
      </c>
      <c r="N32" s="3">
        <v>0.25797012494876997</v>
      </c>
      <c r="P32" s="5">
        <v>19.449256847845401</v>
      </c>
      <c r="Q32" s="4">
        <v>2.7469576250296099</v>
      </c>
      <c r="R32" s="3">
        <v>0.29079357092268798</v>
      </c>
      <c r="T32" s="5">
        <v>21.772087363991901</v>
      </c>
      <c r="U32" s="4">
        <v>3.1596825269516602</v>
      </c>
      <c r="V32" s="3">
        <v>0.69339554198086295</v>
      </c>
    </row>
    <row r="33" spans="2:22" x14ac:dyDescent="0.25">
      <c r="B33" s="4">
        <v>1.76033422800537</v>
      </c>
      <c r="C33" s="4">
        <v>0.391785120998974</v>
      </c>
      <c r="D33" s="4">
        <v>0.106452353997156</v>
      </c>
      <c r="E33" s="3">
        <v>2.0801010889990699</v>
      </c>
      <c r="F33" s="4">
        <v>1.8581756229977999</v>
      </c>
      <c r="G33" s="3">
        <v>272.64230613602501</v>
      </c>
      <c r="H33" s="4">
        <v>0.22741885400319001</v>
      </c>
      <c r="I33" s="4">
        <v>25.198774860706202</v>
      </c>
      <c r="J33" s="4">
        <v>10.7064189319499</v>
      </c>
      <c r="K33" s="3">
        <v>516.22693209117301</v>
      </c>
      <c r="L33" s="5">
        <v>9.3223419149871898</v>
      </c>
      <c r="M33" s="4">
        <v>2.7737299588043198</v>
      </c>
      <c r="N33" s="3">
        <v>0.25594587204977898</v>
      </c>
      <c r="P33" s="5">
        <v>17.129705616040201</v>
      </c>
      <c r="Q33" s="4">
        <v>2.7310685110278401</v>
      </c>
      <c r="R33" s="3">
        <v>0.296660386025906</v>
      </c>
      <c r="T33" s="5">
        <v>20.936161173041899</v>
      </c>
      <c r="U33" s="4">
        <v>2.8945293189026402</v>
      </c>
      <c r="V33" s="3">
        <v>0.74844608409330304</v>
      </c>
    </row>
    <row r="34" spans="2:22" x14ac:dyDescent="0.25">
      <c r="B34" s="4">
        <v>2.7571373399987298</v>
      </c>
      <c r="C34" s="4">
        <v>0.383699529003934</v>
      </c>
      <c r="D34" s="4">
        <v>0.11002772700157901</v>
      </c>
      <c r="E34" s="3">
        <v>2.1309018150059198</v>
      </c>
      <c r="F34" s="4">
        <v>1.92047425100463</v>
      </c>
      <c r="G34" s="3">
        <v>272.166773583012</v>
      </c>
      <c r="H34" s="4">
        <v>0.22397715899569401</v>
      </c>
      <c r="I34" s="4">
        <v>24.453432102221999</v>
      </c>
      <c r="J34" s="4">
        <v>11.1927590118721</v>
      </c>
      <c r="K34" s="3">
        <v>515.32169728772703</v>
      </c>
      <c r="L34" s="5">
        <v>9.0909660789184308</v>
      </c>
      <c r="M34" s="4">
        <v>2.78631264902651</v>
      </c>
      <c r="N34" s="3">
        <v>0.26712668593972899</v>
      </c>
      <c r="P34" s="5">
        <v>18.180252336896999</v>
      </c>
      <c r="Q34" s="4">
        <v>2.6290455849375598</v>
      </c>
      <c r="R34" s="3">
        <v>0.297655221773312</v>
      </c>
      <c r="T34" s="5">
        <v>21.627676113974299</v>
      </c>
      <c r="U34" s="4">
        <v>2.82300801808015</v>
      </c>
      <c r="V34" s="3">
        <v>0.71383119281381402</v>
      </c>
    </row>
    <row r="35" spans="2:22" x14ac:dyDescent="0.25">
      <c r="B35" s="4">
        <v>1.54811770099331</v>
      </c>
      <c r="C35" s="4">
        <v>0.39738835400203198</v>
      </c>
      <c r="D35" s="4">
        <v>0.10874520600191299</v>
      </c>
      <c r="E35" s="3">
        <v>2.0985981730045702</v>
      </c>
      <c r="F35" s="4">
        <v>1.8438437010045099</v>
      </c>
      <c r="G35" s="3">
        <v>272.47557532400202</v>
      </c>
      <c r="H35" s="4">
        <v>0.225108461992931</v>
      </c>
      <c r="I35" s="4">
        <v>26.175005326978901</v>
      </c>
      <c r="J35" s="4">
        <v>10.6120035359636</v>
      </c>
      <c r="K35" s="3">
        <v>515.69146052002895</v>
      </c>
      <c r="L35" s="5">
        <v>9.2198889569845104</v>
      </c>
      <c r="M35" s="4">
        <v>2.7028090171515902</v>
      </c>
      <c r="N35" s="3">
        <v>0.254565868992358</v>
      </c>
      <c r="P35" s="5">
        <v>18.796878271037698</v>
      </c>
      <c r="Q35" s="4">
        <v>2.7769517719280001</v>
      </c>
      <c r="R35" s="3">
        <v>0.299676959868521</v>
      </c>
      <c r="T35" s="5">
        <v>21.514113505138099</v>
      </c>
      <c r="U35" s="4">
        <v>2.9725072518922402</v>
      </c>
      <c r="V35" s="3">
        <v>0.69497892702929698</v>
      </c>
    </row>
    <row r="36" spans="2:22" x14ac:dyDescent="0.25">
      <c r="B36" s="4">
        <v>1.5380891389941</v>
      </c>
      <c r="C36" s="4">
        <v>0.385129248999874</v>
      </c>
      <c r="D36" s="4">
        <v>0.106235433995607</v>
      </c>
      <c r="E36" s="3">
        <v>2.15635561500675</v>
      </c>
      <c r="F36" s="4">
        <v>1.9197643420047801</v>
      </c>
      <c r="G36" s="3">
        <v>272.11284202799999</v>
      </c>
      <c r="H36" s="4">
        <v>0.22209770600602399</v>
      </c>
      <c r="I36" s="4">
        <v>26.306475257966699</v>
      </c>
      <c r="J36" s="4">
        <v>11.199318150989701</v>
      </c>
      <c r="K36" s="3">
        <v>516.11702595557995</v>
      </c>
      <c r="L36" s="5">
        <v>9.4683365910314006</v>
      </c>
      <c r="M36" s="4">
        <v>2.9072361350990801</v>
      </c>
      <c r="N36" s="3">
        <v>0.25369850499555502</v>
      </c>
      <c r="P36" s="5">
        <v>17.745935576036601</v>
      </c>
      <c r="Q36" s="4">
        <v>2.7050347810145499</v>
      </c>
      <c r="R36" s="3">
        <v>0.29271624889224801</v>
      </c>
      <c r="T36" s="5">
        <v>21.423979188082701</v>
      </c>
      <c r="U36" s="4">
        <v>3.0581471850164199</v>
      </c>
      <c r="V36" s="3">
        <v>0.710287017049268</v>
      </c>
    </row>
    <row r="37" spans="2:22" x14ac:dyDescent="0.25">
      <c r="B37" s="4">
        <v>2.7917724760045499</v>
      </c>
      <c r="C37" s="4">
        <v>0.38218970199523</v>
      </c>
      <c r="D37" s="4">
        <v>0.10944890700920901</v>
      </c>
      <c r="E37" s="3">
        <v>2.2120580400078298</v>
      </c>
      <c r="F37" s="4">
        <v>1.9349938679952099</v>
      </c>
      <c r="G37" s="3">
        <v>272.32578104900301</v>
      </c>
      <c r="H37" s="4">
        <v>0.22332192299654699</v>
      </c>
      <c r="I37" s="4">
        <v>25.714540997054399</v>
      </c>
      <c r="J37" s="4">
        <v>11.8847125228494</v>
      </c>
      <c r="K37" s="3">
        <v>516.055664774962</v>
      </c>
      <c r="L37" s="5">
        <v>9.3584453740622902</v>
      </c>
      <c r="M37" s="4">
        <v>3.24491312797181</v>
      </c>
      <c r="N37" s="3">
        <v>0.25149279693141602</v>
      </c>
      <c r="P37" s="5">
        <v>16.731699744006601</v>
      </c>
      <c r="Q37" s="4">
        <v>2.6680388920940499</v>
      </c>
      <c r="R37" s="3">
        <v>0.307400860823691</v>
      </c>
      <c r="T37" s="5">
        <v>20.868866798002301</v>
      </c>
      <c r="U37" s="4">
        <v>3.26283110002987</v>
      </c>
      <c r="V37" s="3">
        <v>0.71824411698616997</v>
      </c>
    </row>
    <row r="38" spans="2:22" x14ac:dyDescent="0.25">
      <c r="B38" s="4">
        <v>1.26805612799944</v>
      </c>
      <c r="C38" s="4">
        <v>0.36887639500491698</v>
      </c>
      <c r="D38" s="4">
        <v>0.10908513900358199</v>
      </c>
      <c r="E38" s="3">
        <v>2.1379709119937602</v>
      </c>
      <c r="F38" s="4">
        <v>2.0194246879982498</v>
      </c>
      <c r="G38" s="3">
        <v>271.99706064900897</v>
      </c>
      <c r="H38" s="4">
        <v>0.228560898001887</v>
      </c>
      <c r="I38" s="4">
        <v>26.844170780852401</v>
      </c>
      <c r="J38" s="4">
        <v>10.762522281147501</v>
      </c>
      <c r="K38" s="3">
        <v>515.87576148984999</v>
      </c>
      <c r="L38" s="5">
        <v>9.3155716608744097</v>
      </c>
      <c r="M38" s="4">
        <v>3.49657604587264</v>
      </c>
      <c r="N38" s="3">
        <v>0.25671718805096999</v>
      </c>
      <c r="P38" s="5">
        <v>17.882273252122101</v>
      </c>
      <c r="Q38" s="4">
        <v>2.7385022290982302</v>
      </c>
      <c r="R38" s="3">
        <v>0.30132693494670099</v>
      </c>
      <c r="T38" s="5">
        <v>21.206285704160099</v>
      </c>
      <c r="U38" s="4">
        <v>3.0886613780166998</v>
      </c>
      <c r="V38" s="3">
        <v>0.71431132312864098</v>
      </c>
    </row>
    <row r="39" spans="2:22" x14ac:dyDescent="0.25">
      <c r="B39" s="4">
        <v>1.30317501199897</v>
      </c>
      <c r="C39" s="4">
        <v>0.38131746700673802</v>
      </c>
      <c r="D39" s="4">
        <v>0.10877821600297399</v>
      </c>
      <c r="E39" s="3">
        <v>2.13191534300858</v>
      </c>
      <c r="F39" s="4">
        <v>1.88360804900003</v>
      </c>
      <c r="G39" s="3">
        <v>272.49493097199502</v>
      </c>
      <c r="H39" s="4">
        <v>0.2278274900018</v>
      </c>
      <c r="I39" s="4">
        <v>26.125809381250299</v>
      </c>
      <c r="J39" s="4">
        <v>11.1464865258895</v>
      </c>
      <c r="K39" s="3">
        <v>516.50065216189296</v>
      </c>
      <c r="L39" s="5">
        <v>9.6268219721969199</v>
      </c>
      <c r="M39" s="4">
        <v>2.9148470771033299</v>
      </c>
      <c r="N39" s="3">
        <v>0.26131981005892202</v>
      </c>
      <c r="P39" s="5">
        <v>19.4400366169866</v>
      </c>
      <c r="Q39" s="4">
        <v>2.6597086370456999</v>
      </c>
      <c r="R39" s="3">
        <v>0.29982605203986201</v>
      </c>
      <c r="T39" s="5">
        <v>21.3425568819512</v>
      </c>
      <c r="U39" s="4">
        <v>2.8959005139768101</v>
      </c>
      <c r="V39" s="3">
        <v>0.74273474584333599</v>
      </c>
    </row>
    <row r="40" spans="2:22" x14ac:dyDescent="0.25">
      <c r="B40" s="4">
        <v>1.5308724240021501</v>
      </c>
      <c r="C40" s="4">
        <v>0.385134643001947</v>
      </c>
      <c r="D40" s="4">
        <v>0.108439937001094</v>
      </c>
      <c r="E40" s="3">
        <v>2.10931627299578</v>
      </c>
      <c r="F40" s="4">
        <v>1.90888593200361</v>
      </c>
      <c r="G40" s="3">
        <v>271.67354043698202</v>
      </c>
      <c r="H40" s="4">
        <v>0.22647706000134299</v>
      </c>
      <c r="I40" s="4">
        <v>24.383608332835099</v>
      </c>
      <c r="J40" s="4">
        <v>11.099075101316</v>
      </c>
      <c r="K40" s="3">
        <v>515.90532471984602</v>
      </c>
      <c r="L40" s="5">
        <v>9.4294889380689693</v>
      </c>
      <c r="M40" s="4">
        <v>3.0785554908216</v>
      </c>
      <c r="N40" s="3">
        <v>0.26404341007582799</v>
      </c>
      <c r="P40" s="5">
        <v>18.270236616022899</v>
      </c>
      <c r="Q40" s="4">
        <v>2.7643452959600801</v>
      </c>
      <c r="R40" s="3">
        <v>0.29714590311050398</v>
      </c>
      <c r="T40" s="5">
        <v>21.418688985984801</v>
      </c>
      <c r="U40" s="4">
        <v>2.8863708549179101</v>
      </c>
      <c r="V40" s="3">
        <v>0.70655306801199902</v>
      </c>
    </row>
    <row r="41" spans="2:22" x14ac:dyDescent="0.25">
      <c r="B41" s="4">
        <v>1.53936448400781</v>
      </c>
      <c r="C41" s="4">
        <v>0.38545975100714702</v>
      </c>
      <c r="D41" s="4">
        <v>0.108430876993224</v>
      </c>
      <c r="E41" s="3">
        <v>2.09961500599456</v>
      </c>
      <c r="F41" s="4">
        <v>1.8980708790040799</v>
      </c>
      <c r="G41" s="3">
        <v>271.397919658018</v>
      </c>
      <c r="H41" s="4">
        <v>0.22141245398961401</v>
      </c>
      <c r="I41" s="4">
        <v>25.604305360000598</v>
      </c>
      <c r="J41" s="4">
        <v>11.0172321111895</v>
      </c>
      <c r="K41" s="3">
        <v>516.20609669713303</v>
      </c>
      <c r="L41" s="5">
        <v>9.0101715570781398</v>
      </c>
      <c r="M41" s="4">
        <v>2.8903544622007802</v>
      </c>
      <c r="N41" s="3">
        <v>0.25754934386350198</v>
      </c>
      <c r="P41" s="5">
        <v>20.324312540004001</v>
      </c>
      <c r="Q41" s="4">
        <v>2.8175810549873899</v>
      </c>
      <c r="R41" s="3">
        <v>0.30612423201091599</v>
      </c>
      <c r="T41" s="5">
        <v>20.618139575933998</v>
      </c>
      <c r="U41" s="4">
        <v>2.8551809280179401</v>
      </c>
      <c r="V41" s="3">
        <v>0.71902178507298198</v>
      </c>
    </row>
    <row r="42" spans="2:22" x14ac:dyDescent="0.25">
      <c r="B42" s="4">
        <v>1.5533771170012101</v>
      </c>
      <c r="C42" s="4">
        <v>0.38187617099902099</v>
      </c>
      <c r="D42" s="4">
        <v>0.109827767999377</v>
      </c>
      <c r="E42" s="3">
        <v>2.07432936401164</v>
      </c>
      <c r="F42" s="4">
        <v>1.94743151699367</v>
      </c>
      <c r="G42" s="3">
        <v>271.94159857300099</v>
      </c>
      <c r="H42" s="4">
        <v>0.22412254400842299</v>
      </c>
      <c r="I42" s="4">
        <v>25.406761730089801</v>
      </c>
      <c r="J42" s="4">
        <v>10.5800880859606</v>
      </c>
      <c r="K42" s="3">
        <v>515.49905815580905</v>
      </c>
      <c r="L42" s="5">
        <v>9.4284605658613199</v>
      </c>
      <c r="M42" s="4">
        <v>2.9228509389795398</v>
      </c>
      <c r="N42" s="3">
        <v>0.28786198887974002</v>
      </c>
      <c r="P42" s="5">
        <v>16.956061264965701</v>
      </c>
      <c r="Q42" s="4">
        <v>2.7457609889097498</v>
      </c>
      <c r="R42" s="3">
        <v>0.29688504710793501</v>
      </c>
      <c r="T42" s="5">
        <v>22.3068238319829</v>
      </c>
      <c r="U42" s="4">
        <v>2.8891636170446899</v>
      </c>
      <c r="V42" s="3">
        <v>0.68821051297709401</v>
      </c>
    </row>
    <row r="43" spans="2:22" x14ac:dyDescent="0.25">
      <c r="B43" s="4">
        <v>1.5190676760102999</v>
      </c>
      <c r="C43" s="4">
        <v>0.387363193993223</v>
      </c>
      <c r="D43" s="4">
        <v>0.105703456996707</v>
      </c>
      <c r="E43" s="3">
        <v>2.0534235330123898</v>
      </c>
      <c r="F43" s="4">
        <v>1.8547802690009101</v>
      </c>
      <c r="G43" s="3">
        <v>272.46682797299502</v>
      </c>
      <c r="H43" s="4">
        <v>0.22360118299548001</v>
      </c>
      <c r="I43" s="4">
        <v>25.570850629825099</v>
      </c>
      <c r="J43" s="4">
        <v>10.4705791971646</v>
      </c>
      <c r="K43" s="3">
        <v>515.79793315613597</v>
      </c>
      <c r="L43" s="5">
        <v>9.5212008059024793</v>
      </c>
      <c r="M43" s="4">
        <v>3.1086717948783198</v>
      </c>
      <c r="N43" s="3">
        <v>0.25510937906801701</v>
      </c>
      <c r="P43" s="5">
        <v>16.4408682279754</v>
      </c>
      <c r="Q43" s="4">
        <v>2.70242018997669</v>
      </c>
      <c r="R43" s="3">
        <v>0.28539062803611198</v>
      </c>
      <c r="T43" s="5">
        <v>20.464383922983</v>
      </c>
      <c r="U43" s="4">
        <v>3.0181574879679798</v>
      </c>
      <c r="V43" s="3">
        <v>0.68968876008875701</v>
      </c>
    </row>
    <row r="44" spans="2:22" x14ac:dyDescent="0.25">
      <c r="B44" s="4">
        <v>3.0340990770055201</v>
      </c>
      <c r="C44" s="4">
        <v>0.39194726498681098</v>
      </c>
      <c r="D44" s="4">
        <v>0.10862905299290999</v>
      </c>
      <c r="E44" s="3">
        <v>2.1766853750013899</v>
      </c>
      <c r="F44" s="4">
        <v>2.0071476229932101</v>
      </c>
      <c r="G44" s="3">
        <v>272.55875887698397</v>
      </c>
      <c r="H44" s="4">
        <v>0.22407739999471199</v>
      </c>
      <c r="I44" s="4">
        <v>25.614569003228102</v>
      </c>
      <c r="J44" s="4">
        <v>10.6288677132688</v>
      </c>
      <c r="K44" s="3">
        <v>515.30651236278902</v>
      </c>
      <c r="L44" s="5">
        <v>9.2310250350274199</v>
      </c>
      <c r="M44" s="4">
        <v>2.4646506479475598</v>
      </c>
      <c r="N44" s="3">
        <v>0.25827336497604803</v>
      </c>
      <c r="P44" s="5">
        <v>16.865680249175099</v>
      </c>
      <c r="Q44" s="4">
        <v>2.6942905099131198</v>
      </c>
      <c r="R44" s="3">
        <v>0.29521015891805302</v>
      </c>
      <c r="T44" s="5">
        <v>21.590397174004501</v>
      </c>
      <c r="U44" s="4">
        <v>2.89918966707774</v>
      </c>
      <c r="V44" s="3">
        <v>0.72581701399758503</v>
      </c>
    </row>
    <row r="45" spans="2:22" x14ac:dyDescent="0.25">
      <c r="B45" s="4">
        <v>2.2917753799992999</v>
      </c>
      <c r="C45" s="4">
        <v>0.398520592003478</v>
      </c>
      <c r="D45" s="4">
        <v>0.105467590998159</v>
      </c>
      <c r="E45" s="3">
        <v>2.1673144520027501</v>
      </c>
      <c r="F45" s="4">
        <v>1.8271032180055</v>
      </c>
      <c r="G45" s="3">
        <v>272.53346307101299</v>
      </c>
      <c r="H45" s="4">
        <v>0.22297068500483799</v>
      </c>
      <c r="I45" s="4">
        <v>25.691874596290301</v>
      </c>
      <c r="J45" s="4">
        <v>11.257114680018301</v>
      </c>
      <c r="K45" s="3">
        <v>515.45290604466595</v>
      </c>
      <c r="L45" s="5">
        <v>9.4358767289668304</v>
      </c>
      <c r="M45" s="4">
        <v>2.9156341149937401</v>
      </c>
      <c r="N45" s="3">
        <v>0.24837385001592299</v>
      </c>
      <c r="P45" s="5">
        <v>16.729337184922802</v>
      </c>
      <c r="Q45" s="4">
        <v>2.6126559169497301</v>
      </c>
      <c r="R45" s="3">
        <v>0.29904700699262299</v>
      </c>
      <c r="T45" s="5">
        <v>21.050414830911901</v>
      </c>
      <c r="U45" s="4">
        <v>2.9136762050911802</v>
      </c>
      <c r="V45" s="3">
        <v>0.71541933203116104</v>
      </c>
    </row>
    <row r="46" spans="2:22" x14ac:dyDescent="0.25">
      <c r="B46" s="4">
        <v>2.29169296100735</v>
      </c>
      <c r="C46" s="4">
        <v>0.38518589601153502</v>
      </c>
      <c r="D46" s="4">
        <v>0.108333165990188</v>
      </c>
      <c r="E46" s="3">
        <v>2.18262420600513</v>
      </c>
      <c r="F46" s="4">
        <v>1.95170324300124</v>
      </c>
      <c r="G46" s="3">
        <v>272.32857254799399</v>
      </c>
      <c r="H46" s="4">
        <v>0.22608327100169801</v>
      </c>
      <c r="I46" s="4">
        <v>25.066466719843401</v>
      </c>
      <c r="J46" s="4">
        <v>11.009933391120301</v>
      </c>
      <c r="K46" s="3">
        <v>514.47197119426005</v>
      </c>
      <c r="L46" s="5">
        <v>9.0606807540170902</v>
      </c>
      <c r="M46" s="4">
        <v>2.7174539209809199</v>
      </c>
      <c r="N46" s="3">
        <v>0.25654521584510798</v>
      </c>
      <c r="P46" s="5">
        <v>18.827999321976701</v>
      </c>
      <c r="Q46" s="4">
        <v>2.7004111069254599</v>
      </c>
      <c r="R46" s="3">
        <v>0.30163557198829999</v>
      </c>
      <c r="T46" s="5">
        <v>21.319450598908599</v>
      </c>
      <c r="U46" s="4">
        <v>3.1002699760720098</v>
      </c>
      <c r="V46" s="3">
        <v>0.69772609299980104</v>
      </c>
    </row>
    <row r="47" spans="2:22" x14ac:dyDescent="0.25">
      <c r="B47" s="4">
        <v>4.0293950189952703</v>
      </c>
      <c r="C47" s="4">
        <v>0.38395636698987801</v>
      </c>
      <c r="D47" s="4">
        <v>0.105155241006286</v>
      </c>
      <c r="E47" s="3">
        <v>2.0856883050000699</v>
      </c>
      <c r="F47" s="4">
        <v>1.8371977969945801</v>
      </c>
      <c r="G47" s="3">
        <v>272.45782074899699</v>
      </c>
      <c r="H47" s="4">
        <v>0.222693700008676</v>
      </c>
      <c r="I47" s="4">
        <v>26.0631283950061</v>
      </c>
      <c r="J47" s="4">
        <v>10.8959679459222</v>
      </c>
      <c r="K47" s="3">
        <v>516.33298131683796</v>
      </c>
      <c r="L47" s="5">
        <v>9.2370538378599996</v>
      </c>
      <c r="M47" s="4">
        <v>2.9713398590683902</v>
      </c>
      <c r="N47" s="3">
        <v>0.25425497302785499</v>
      </c>
      <c r="P47" s="5">
        <v>18.497760249069</v>
      </c>
      <c r="Q47" s="4">
        <v>2.63812142494135</v>
      </c>
      <c r="R47" s="3">
        <v>0.30342397606000299</v>
      </c>
      <c r="T47" s="5">
        <v>20.392896662000599</v>
      </c>
      <c r="U47" s="4">
        <v>3.2424218249507302</v>
      </c>
      <c r="V47" s="3">
        <v>0.72355845314450595</v>
      </c>
    </row>
    <row r="48" spans="2:22" x14ac:dyDescent="0.25">
      <c r="B48" s="4">
        <v>3.0205706950073301</v>
      </c>
      <c r="C48" s="4">
        <v>0.38071409100666598</v>
      </c>
      <c r="D48" s="4">
        <v>0.108103730992297</v>
      </c>
      <c r="E48" s="3">
        <v>2.1441758700093398</v>
      </c>
      <c r="F48" s="4">
        <v>1.8644641399878299</v>
      </c>
      <c r="G48" s="3">
        <v>272.77461109199697</v>
      </c>
      <c r="H48" s="4">
        <v>0.22580319199187199</v>
      </c>
      <c r="I48" s="4">
        <v>26.449745401740099</v>
      </c>
      <c r="J48" s="4">
        <v>10.9037931407802</v>
      </c>
      <c r="K48" s="3">
        <v>515.89060982083902</v>
      </c>
      <c r="L48" s="5">
        <v>11.2409096301999</v>
      </c>
      <c r="M48" s="4">
        <v>3.1839871150441499</v>
      </c>
      <c r="N48" s="3">
        <v>0.25762785295955798</v>
      </c>
      <c r="P48" s="5">
        <v>18.602714260108801</v>
      </c>
      <c r="Q48" s="4">
        <v>2.8160500770900398</v>
      </c>
      <c r="R48" s="3">
        <v>0.30061934585683098</v>
      </c>
      <c r="T48" s="5">
        <v>21.7124822859187</v>
      </c>
      <c r="U48" s="4">
        <v>3.0884648228529801</v>
      </c>
      <c r="V48" s="3">
        <v>0.70554044796153903</v>
      </c>
    </row>
    <row r="49" spans="2:22" x14ac:dyDescent="0.25">
      <c r="B49" s="4">
        <v>2.03237023700785</v>
      </c>
      <c r="C49" s="4">
        <v>0.383038229992962</v>
      </c>
      <c r="D49" s="4">
        <v>0.10857298999326299</v>
      </c>
      <c r="E49" s="3">
        <v>2.1305772960040401</v>
      </c>
      <c r="F49" s="4">
        <v>1.8946614659944301</v>
      </c>
      <c r="G49" s="3">
        <v>273.19137963501203</v>
      </c>
      <c r="H49" s="4">
        <v>0.22720389699679799</v>
      </c>
      <c r="I49" s="4">
        <v>27.446023124270098</v>
      </c>
      <c r="J49" s="4">
        <v>10.707236296031599</v>
      </c>
      <c r="K49" s="3">
        <v>515.21535918815096</v>
      </c>
      <c r="L49" s="5">
        <v>12.6094042691402</v>
      </c>
      <c r="M49" s="4">
        <v>2.7587539029773298</v>
      </c>
      <c r="N49" s="3">
        <v>0.267953427042812</v>
      </c>
      <c r="P49" s="5">
        <v>18.0685611839872</v>
      </c>
      <c r="Q49" s="4">
        <v>2.7173251421190798</v>
      </c>
      <c r="R49" s="3">
        <v>0.30668142600916298</v>
      </c>
      <c r="T49" s="5">
        <v>21.104041991056899</v>
      </c>
      <c r="U49" s="4">
        <v>2.8205959189217502</v>
      </c>
      <c r="V49" s="3">
        <v>0.69444962707348201</v>
      </c>
    </row>
    <row r="50" spans="2:22" x14ac:dyDescent="0.25">
      <c r="B50" s="4">
        <v>1.52488664499833</v>
      </c>
      <c r="C50" s="4">
        <v>0.38355691600008801</v>
      </c>
      <c r="D50" s="4">
        <v>0.112092048002523</v>
      </c>
      <c r="E50" s="3">
        <v>2.0962529279931901</v>
      </c>
      <c r="F50" s="4">
        <v>1.9038698060030499</v>
      </c>
      <c r="G50" s="3">
        <v>271.99335244699603</v>
      </c>
      <c r="H50" s="4">
        <v>0.22877407299529201</v>
      </c>
      <c r="I50" s="4">
        <v>24.354688699822901</v>
      </c>
      <c r="J50" s="4">
        <v>11.3661536490545</v>
      </c>
      <c r="K50" s="3">
        <v>515.90801476500906</v>
      </c>
      <c r="L50" s="5">
        <v>10.3998695900664</v>
      </c>
      <c r="M50" s="4">
        <v>3.3188457828946398</v>
      </c>
      <c r="N50" s="3">
        <v>0.26908963196910901</v>
      </c>
      <c r="P50" s="5">
        <v>16.208430441794899</v>
      </c>
      <c r="Q50" s="4">
        <v>2.8481774320825899</v>
      </c>
      <c r="R50" s="3">
        <v>0.29690216993913099</v>
      </c>
      <c r="T50" s="5">
        <v>20.971353783970699</v>
      </c>
      <c r="U50" s="4">
        <v>2.8204873120412199</v>
      </c>
      <c r="V50" s="3">
        <v>0.70161860296502698</v>
      </c>
    </row>
    <row r="51" spans="2:22" x14ac:dyDescent="0.25">
      <c r="B51" s="4">
        <v>1.2817970189935199</v>
      </c>
      <c r="C51" s="4">
        <v>0.381118003002484</v>
      </c>
      <c r="D51" s="4">
        <v>0.109291855987976</v>
      </c>
      <c r="E51" s="3">
        <v>2.12164322601165</v>
      </c>
      <c r="F51" s="4">
        <v>1.90871508300188</v>
      </c>
      <c r="G51" s="3">
        <v>272.00370447299701</v>
      </c>
      <c r="H51" s="4">
        <v>0.221068513012141</v>
      </c>
      <c r="I51" s="4">
        <v>24.933580303098999</v>
      </c>
      <c r="J51" s="4">
        <v>10.6061708913185</v>
      </c>
      <c r="K51" s="3">
        <v>515.77129533886898</v>
      </c>
      <c r="L51" s="5">
        <v>9.6157672668341601</v>
      </c>
      <c r="M51" s="4">
        <v>2.7712879001628599</v>
      </c>
      <c r="N51" s="3">
        <v>0.25425227195955802</v>
      </c>
      <c r="P51" s="5">
        <v>17.313297841930801</v>
      </c>
      <c r="Q51" s="4">
        <v>2.8042263728566499</v>
      </c>
      <c r="R51" s="3">
        <v>0.30229776981286699</v>
      </c>
      <c r="T51" s="5">
        <v>20.683374921092799</v>
      </c>
      <c r="U51" s="4">
        <v>2.8332563720177899</v>
      </c>
      <c r="V51" s="3">
        <v>0.70452994597144403</v>
      </c>
    </row>
    <row r="52" spans="2:22" x14ac:dyDescent="0.25">
      <c r="B52" s="4">
        <v>1.53891434000979</v>
      </c>
      <c r="C52" s="4">
        <v>0.39732851200096703</v>
      </c>
      <c r="D52" s="4">
        <v>0.109800270991399</v>
      </c>
      <c r="E52" s="3">
        <v>2.0492623410100301</v>
      </c>
      <c r="F52" s="4">
        <v>1.9771783220057799</v>
      </c>
      <c r="G52" s="3">
        <v>272.05932674798498</v>
      </c>
      <c r="H52" s="4">
        <v>0.22020909999264399</v>
      </c>
      <c r="I52" s="4">
        <v>25.810380285140099</v>
      </c>
      <c r="J52" s="4">
        <v>11.1417158921249</v>
      </c>
      <c r="K52" s="3">
        <v>514.47795320395403</v>
      </c>
      <c r="L52" s="5">
        <v>10.716226946096899</v>
      </c>
      <c r="M52" s="4">
        <v>2.72669977787882</v>
      </c>
      <c r="N52" s="3">
        <v>0.25431535695679502</v>
      </c>
      <c r="P52" s="5">
        <v>16.193939661839998</v>
      </c>
      <c r="Q52" s="4">
        <v>2.6764036719687301</v>
      </c>
      <c r="R52" s="3">
        <v>0.30065289605408901</v>
      </c>
      <c r="T52" s="5">
        <v>20.582193230045998</v>
      </c>
      <c r="U52" s="4">
        <v>3.0597189611289699</v>
      </c>
      <c r="V52" s="3">
        <v>0.70417543081566703</v>
      </c>
    </row>
    <row r="53" spans="2:22" x14ac:dyDescent="0.25">
      <c r="B53" s="4">
        <v>2.2718681950063901</v>
      </c>
      <c r="C53" s="4">
        <v>0.38020897499518402</v>
      </c>
      <c r="D53" s="4">
        <v>0.104304762993706</v>
      </c>
      <c r="E53" s="3">
        <v>2.0716350700095001</v>
      </c>
      <c r="F53" s="4">
        <v>1.88381848200515</v>
      </c>
      <c r="G53" s="3">
        <v>272.03482630100899</v>
      </c>
      <c r="H53" s="4">
        <v>0.22300428200105599</v>
      </c>
      <c r="I53" s="4">
        <v>25.356271925847999</v>
      </c>
      <c r="J53" s="4">
        <v>10.836641383823</v>
      </c>
      <c r="K53" s="3">
        <v>515.76468022121105</v>
      </c>
      <c r="L53" s="5">
        <v>9.8622433901764506</v>
      </c>
      <c r="M53" s="4">
        <v>2.9734560281503901</v>
      </c>
      <c r="N53" s="3">
        <v>0.25731838308274702</v>
      </c>
      <c r="P53" s="5">
        <v>17.177414410049099</v>
      </c>
      <c r="Q53" s="4">
        <v>2.79322794103064</v>
      </c>
      <c r="R53" s="3">
        <v>0.298261081101373</v>
      </c>
      <c r="T53" s="5">
        <v>21.089700638083698</v>
      </c>
      <c r="U53" s="4">
        <v>2.89668890507892</v>
      </c>
      <c r="V53" s="3">
        <v>0.69747657398693297</v>
      </c>
    </row>
    <row r="54" spans="2:22" x14ac:dyDescent="0.25">
      <c r="B54" s="4">
        <v>1.3253328540013101</v>
      </c>
      <c r="C54" s="4">
        <v>0.39445008900656803</v>
      </c>
      <c r="D54" s="4">
        <v>0.105903577990829</v>
      </c>
      <c r="E54" s="3">
        <v>2.1061481739889101</v>
      </c>
      <c r="F54" s="4">
        <v>1.9378088200028201</v>
      </c>
      <c r="G54" s="3">
        <v>271.275923238019</v>
      </c>
      <c r="H54" s="4">
        <v>0.223642487006145</v>
      </c>
      <c r="I54" s="4">
        <v>25.837357586249698</v>
      </c>
      <c r="J54" s="4">
        <v>10.890274272300299</v>
      </c>
      <c r="K54" s="3">
        <v>516.01945426687598</v>
      </c>
      <c r="L54" s="5">
        <v>9.53142191283405</v>
      </c>
      <c r="M54" s="4">
        <v>3.0651322689373002</v>
      </c>
      <c r="N54" s="3">
        <v>0.25350962090306001</v>
      </c>
      <c r="P54" s="5">
        <v>16.2554577910341</v>
      </c>
      <c r="Q54" s="4">
        <v>2.8328229698818199</v>
      </c>
      <c r="R54" s="3">
        <v>0.29450923786498601</v>
      </c>
      <c r="T54" s="5">
        <v>20.515039845136901</v>
      </c>
      <c r="U54" s="4">
        <v>2.8647238400299102</v>
      </c>
      <c r="V54" s="3">
        <v>0.69570945412851903</v>
      </c>
    </row>
    <row r="55" spans="2:22" x14ac:dyDescent="0.25">
      <c r="B55" s="4">
        <v>1.5445145150006201</v>
      </c>
      <c r="C55" s="4">
        <v>0.38786300300853299</v>
      </c>
      <c r="D55" s="4">
        <v>0.10864031399250899</v>
      </c>
      <c r="E55" s="3">
        <v>2.1155332889902598</v>
      </c>
      <c r="F55" s="4">
        <v>1.8960152810032</v>
      </c>
      <c r="G55" s="3">
        <v>271.66404702700601</v>
      </c>
      <c r="H55" s="4">
        <v>0.22699902200838501</v>
      </c>
      <c r="I55" s="4">
        <v>25.356436313130001</v>
      </c>
      <c r="J55" s="4">
        <v>10.664655981119701</v>
      </c>
      <c r="K55" s="3">
        <v>515.89773065503698</v>
      </c>
      <c r="L55" s="5">
        <v>10.371090169064701</v>
      </c>
      <c r="M55" s="4">
        <v>2.5849724621512</v>
      </c>
      <c r="N55" s="3">
        <v>0.26229944196529698</v>
      </c>
      <c r="P55" s="5">
        <v>16.632780496031</v>
      </c>
      <c r="Q55" s="4">
        <v>2.8230118840001501</v>
      </c>
      <c r="R55" s="3">
        <v>0.30900944489985699</v>
      </c>
      <c r="T55" s="5">
        <v>20.970179301919401</v>
      </c>
      <c r="U55" s="4">
        <v>2.8717977760825302</v>
      </c>
      <c r="V55" s="3">
        <v>0.70540040708147</v>
      </c>
    </row>
    <row r="56" spans="2:22" x14ac:dyDescent="0.25">
      <c r="B56" s="4">
        <v>2.2627367710083401</v>
      </c>
      <c r="C56" s="4">
        <v>0.39127746700250998</v>
      </c>
      <c r="D56" s="4">
        <v>0.10674350899353099</v>
      </c>
      <c r="E56" s="3">
        <v>2.1446661129884799</v>
      </c>
      <c r="F56" s="4">
        <v>1.9147087599994801</v>
      </c>
      <c r="G56" s="3">
        <v>271.84962233001698</v>
      </c>
      <c r="H56" s="4">
        <v>0.22455903299851299</v>
      </c>
      <c r="I56" s="4">
        <v>29.0950814108364</v>
      </c>
      <c r="J56" s="4">
        <v>10.9095706911758</v>
      </c>
      <c r="K56" s="3">
        <v>515.65124256163801</v>
      </c>
      <c r="L56" s="5">
        <v>11.256126018008199</v>
      </c>
      <c r="M56" s="4">
        <v>2.7341877350117998</v>
      </c>
      <c r="N56" s="3">
        <v>0.26424999092705598</v>
      </c>
      <c r="P56" s="5">
        <v>16.232081990921898</v>
      </c>
      <c r="Q56" s="4">
        <v>2.7440602169372101</v>
      </c>
      <c r="R56" s="3">
        <v>0.30395383387803998</v>
      </c>
      <c r="T56" s="5">
        <v>20.747840756084798</v>
      </c>
      <c r="U56" s="4">
        <v>2.8185941039118898</v>
      </c>
      <c r="V56" s="3">
        <v>0.69763176888227496</v>
      </c>
    </row>
    <row r="57" spans="2:22" x14ac:dyDescent="0.25">
      <c r="B57" s="4">
        <v>4.2775845729920503</v>
      </c>
      <c r="C57" s="4">
        <v>0.39825513800314999</v>
      </c>
      <c r="D57" s="4">
        <v>0.10741333299665699</v>
      </c>
      <c r="E57" s="3">
        <v>2.1184286659990899</v>
      </c>
      <c r="F57" s="4">
        <v>1.9096260509977501</v>
      </c>
      <c r="G57" s="3">
        <v>271.81198897599802</v>
      </c>
      <c r="H57" s="4">
        <v>0.22242234900477301</v>
      </c>
      <c r="I57" s="4">
        <v>27.911433493252801</v>
      </c>
      <c r="J57" s="4">
        <v>10.8921872461215</v>
      </c>
      <c r="K57" s="3">
        <v>515.13927584188104</v>
      </c>
      <c r="L57" s="5">
        <v>10.104561591986601</v>
      </c>
      <c r="M57" s="4">
        <v>2.92838607495651</v>
      </c>
      <c r="N57" s="3">
        <v>0.25805928697809599</v>
      </c>
      <c r="P57" s="5">
        <v>16.3901777321007</v>
      </c>
      <c r="Q57" s="4">
        <v>2.6025700801983498</v>
      </c>
      <c r="R57" s="3">
        <v>0.298428977839649</v>
      </c>
      <c r="T57" s="5">
        <v>20.947666209191102</v>
      </c>
      <c r="U57" s="4">
        <v>2.9656053960788999</v>
      </c>
      <c r="V57" s="3">
        <v>0.68113779998384405</v>
      </c>
    </row>
    <row r="58" spans="2:22" x14ac:dyDescent="0.25">
      <c r="B58" s="4">
        <v>3.0457454050047001</v>
      </c>
      <c r="C58" s="4">
        <v>0.39493619601125801</v>
      </c>
      <c r="D58" s="4">
        <v>0.106128782004816</v>
      </c>
      <c r="E58" s="3">
        <v>2.1074737000017101</v>
      </c>
      <c r="F58" s="4">
        <v>2.0023545360017998</v>
      </c>
      <c r="G58" s="3">
        <v>271.96841741900403</v>
      </c>
      <c r="H58" s="4">
        <v>0.22586731299816101</v>
      </c>
      <c r="I58" s="4">
        <v>25.370755816809801</v>
      </c>
      <c r="J58" s="4">
        <v>10.790332532953499</v>
      </c>
      <c r="K58" s="3">
        <v>515.68736712122302</v>
      </c>
      <c r="L58" s="5">
        <v>12.5276365310419</v>
      </c>
      <c r="M58" s="4">
        <v>2.82808318105526</v>
      </c>
      <c r="N58" s="3">
        <v>0.25286602601408997</v>
      </c>
      <c r="P58" s="5">
        <v>18.261537765851202</v>
      </c>
      <c r="Q58" s="4">
        <v>2.6597205968573698</v>
      </c>
      <c r="R58" s="3">
        <v>0.29776898212730901</v>
      </c>
      <c r="T58" s="5">
        <v>20.530717730987799</v>
      </c>
      <c r="U58" s="4">
        <v>2.9146715849637999</v>
      </c>
      <c r="V58" s="3">
        <v>0.68330425303429398</v>
      </c>
    </row>
    <row r="59" spans="2:22" x14ac:dyDescent="0.25">
      <c r="B59" s="4">
        <v>1.53331757200066</v>
      </c>
      <c r="C59" s="4">
        <v>0.38991995499236498</v>
      </c>
      <c r="D59" s="4">
        <v>0.105092802012222</v>
      </c>
      <c r="E59" s="3">
        <v>2.1498958339943699</v>
      </c>
      <c r="F59" s="4">
        <v>1.94131803100754</v>
      </c>
      <c r="G59" s="3">
        <v>272.31794790297801</v>
      </c>
      <c r="H59" s="4">
        <v>0.225023692997638</v>
      </c>
      <c r="I59" s="4">
        <v>25.602856087964</v>
      </c>
      <c r="J59" s="4">
        <v>10.4540671021678</v>
      </c>
      <c r="K59" s="3">
        <v>516.03354126494401</v>
      </c>
      <c r="L59" s="5">
        <v>10.2983725841623</v>
      </c>
      <c r="M59" s="4">
        <v>2.5133531361352701</v>
      </c>
      <c r="N59" s="3">
        <v>0.25241153989918502</v>
      </c>
      <c r="P59" s="5">
        <v>19.247855031862901</v>
      </c>
      <c r="Q59" s="4">
        <v>2.6698469091206798</v>
      </c>
      <c r="R59" s="3">
        <v>0.297105300007388</v>
      </c>
      <c r="T59" s="5">
        <v>20.974615081911899</v>
      </c>
      <c r="U59" s="4">
        <v>2.8082732209004502</v>
      </c>
      <c r="V59" s="3">
        <v>0.67978439689613901</v>
      </c>
    </row>
    <row r="60" spans="2:22" x14ac:dyDescent="0.25">
      <c r="B60" s="4">
        <v>4.5344799900049102</v>
      </c>
      <c r="C60" s="4">
        <v>0.38588811800582301</v>
      </c>
      <c r="D60" s="4">
        <v>0.10844993100909001</v>
      </c>
      <c r="E60" s="3">
        <v>2.18206206600007</v>
      </c>
      <c r="F60" s="4">
        <v>1.9334225370112099</v>
      </c>
      <c r="G60" s="3">
        <v>271.82794459399798</v>
      </c>
      <c r="H60" s="4">
        <v>0.22249152300355399</v>
      </c>
      <c r="I60" s="4">
        <v>25.035610124003099</v>
      </c>
      <c r="J60" s="4">
        <v>11.095041166059699</v>
      </c>
      <c r="K60" s="3">
        <v>515.97634738916497</v>
      </c>
      <c r="L60" s="5">
        <v>10.3737931321375</v>
      </c>
      <c r="M60" s="4">
        <v>2.7872050129808499</v>
      </c>
      <c r="N60" s="3">
        <v>0.25730793899856502</v>
      </c>
      <c r="P60" s="5">
        <v>21.445236750878401</v>
      </c>
      <c r="Q60" s="4">
        <v>2.6954871239140599</v>
      </c>
      <c r="R60" s="3">
        <v>0.29163458896800898</v>
      </c>
      <c r="T60" s="5">
        <v>20.704955521971002</v>
      </c>
      <c r="U60" s="4">
        <v>2.8631480780895799</v>
      </c>
      <c r="V60" s="3">
        <v>0.687356889946386</v>
      </c>
    </row>
    <row r="61" spans="2:22" x14ac:dyDescent="0.25">
      <c r="B61" s="4">
        <v>2.8059232350060399</v>
      </c>
      <c r="C61" s="4">
        <v>0.40064852600335099</v>
      </c>
      <c r="D61" s="4">
        <v>0.10842231400602</v>
      </c>
      <c r="E61" s="3">
        <v>2.1036359930003501</v>
      </c>
      <c r="F61" s="4">
        <v>1.91202289599459</v>
      </c>
      <c r="G61" s="3">
        <v>272.468124744016</v>
      </c>
      <c r="H61" s="4">
        <v>0.22682998000527699</v>
      </c>
      <c r="I61" s="4">
        <v>26.659946929663398</v>
      </c>
      <c r="J61" s="4">
        <v>10.8339363187552</v>
      </c>
      <c r="K61" s="3">
        <v>515.45558714633796</v>
      </c>
      <c r="L61" s="5">
        <v>10.146612724987801</v>
      </c>
      <c r="M61" s="4">
        <v>2.9841964999213801</v>
      </c>
      <c r="N61" s="3">
        <v>0.25443371990695601</v>
      </c>
      <c r="P61" s="5">
        <v>21.135745559819</v>
      </c>
      <c r="Q61" s="4">
        <v>2.7551792799495201</v>
      </c>
      <c r="R61" s="3">
        <v>0.30180990207009001</v>
      </c>
      <c r="T61" s="5">
        <v>21.706908134045101</v>
      </c>
      <c r="U61" s="4">
        <v>2.7989656550344102</v>
      </c>
      <c r="V61" s="3">
        <v>0.68237796379253302</v>
      </c>
    </row>
    <row r="62" spans="2:22" x14ac:dyDescent="0.25">
      <c r="B62" s="4">
        <v>2.0433180209947701</v>
      </c>
      <c r="C62" s="4">
        <v>0.408211455011041</v>
      </c>
      <c r="D62" s="4">
        <v>0.105331851998926</v>
      </c>
      <c r="E62" s="3">
        <v>2.0993402099993501</v>
      </c>
      <c r="F62" s="4">
        <v>1.8451378870085999</v>
      </c>
      <c r="G62" s="3">
        <v>272.65549781700201</v>
      </c>
      <c r="H62" s="4">
        <v>0.224125342007027</v>
      </c>
      <c r="I62" s="4">
        <v>24.5742687569</v>
      </c>
      <c r="J62" s="4">
        <v>12.3292678650469</v>
      </c>
      <c r="K62" s="3">
        <v>516.08219734206796</v>
      </c>
      <c r="L62" s="5">
        <v>9.7847357899881899</v>
      </c>
      <c r="M62" s="4">
        <v>3.0363104690332001</v>
      </c>
      <c r="N62" s="3">
        <v>0.25492775090970099</v>
      </c>
      <c r="P62" s="5">
        <v>27.749611991923299</v>
      </c>
      <c r="Q62" s="4">
        <v>2.7328352441545598</v>
      </c>
      <c r="R62" s="3">
        <v>0.292757770977914</v>
      </c>
      <c r="T62" s="5">
        <v>20.521774257998899</v>
      </c>
      <c r="U62" s="4">
        <v>2.9531056249979901</v>
      </c>
      <c r="V62" s="3">
        <v>0.68387503386475201</v>
      </c>
    </row>
    <row r="63" spans="2:22" x14ac:dyDescent="0.25">
      <c r="B63" s="4">
        <v>1.5286430150008501</v>
      </c>
      <c r="C63" s="4">
        <v>0.39512463999562802</v>
      </c>
      <c r="D63" s="4">
        <v>0.104991949003306</v>
      </c>
      <c r="E63" s="3">
        <v>2.1055042389925802</v>
      </c>
      <c r="F63" s="4">
        <v>2.05794231100298</v>
      </c>
      <c r="G63" s="3">
        <v>272.056831928988</v>
      </c>
      <c r="H63" s="4">
        <v>0.22527599000022699</v>
      </c>
      <c r="I63" s="4">
        <v>25.201568979304302</v>
      </c>
      <c r="J63" s="4">
        <v>10.689428238663799</v>
      </c>
      <c r="K63" s="3">
        <v>515.53766182018398</v>
      </c>
      <c r="L63" s="5">
        <v>9.8293103431351501</v>
      </c>
      <c r="M63" s="4">
        <v>2.89322770712897</v>
      </c>
      <c r="N63" s="3">
        <v>0.24986347090452901</v>
      </c>
      <c r="P63" s="5">
        <v>25.767759319860499</v>
      </c>
      <c r="Q63" s="4">
        <v>2.80096345115453</v>
      </c>
      <c r="R63" s="3">
        <v>0.29854200407862702</v>
      </c>
      <c r="T63" s="5">
        <v>21.383144039893502</v>
      </c>
      <c r="U63" s="4">
        <v>2.9695693550165698</v>
      </c>
      <c r="V63" s="3">
        <v>0.69073173007927802</v>
      </c>
    </row>
    <row r="64" spans="2:22" x14ac:dyDescent="0.25">
      <c r="B64" s="4">
        <v>3.7767330750066299</v>
      </c>
      <c r="C64" s="4">
        <v>0.39689479199296301</v>
      </c>
      <c r="D64" s="4">
        <v>0.10571576798975001</v>
      </c>
      <c r="E64" s="3">
        <v>2.0510767800005798</v>
      </c>
      <c r="F64" s="4">
        <v>1.8908834080066299</v>
      </c>
      <c r="G64" s="3">
        <v>272.35274643299601</v>
      </c>
      <c r="H64" s="4">
        <v>0.225010423993808</v>
      </c>
      <c r="I64" s="4">
        <v>25.0768736717291</v>
      </c>
      <c r="J64" s="4">
        <v>11.3983520478942</v>
      </c>
      <c r="K64" s="3">
        <v>515.45259883301298</v>
      </c>
      <c r="L64" s="5">
        <v>10.1617963958997</v>
      </c>
      <c r="M64" s="4">
        <v>2.9987956820987201</v>
      </c>
      <c r="N64" s="3">
        <v>0.25874180695973298</v>
      </c>
      <c r="P64" s="5">
        <v>20.947000734042401</v>
      </c>
      <c r="Q64" s="4">
        <v>2.6629945640452202</v>
      </c>
      <c r="R64" s="3">
        <v>0.30387354991398802</v>
      </c>
      <c r="T64" s="5">
        <v>20.963605239987402</v>
      </c>
      <c r="U64" s="4">
        <v>2.9751427930314098</v>
      </c>
      <c r="V64" s="3">
        <v>0.711236989824101</v>
      </c>
    </row>
    <row r="65" spans="2:22" x14ac:dyDescent="0.25">
      <c r="B65" s="4">
        <v>2.8034452150022799</v>
      </c>
      <c r="C65" s="4">
        <v>0.38853703199129003</v>
      </c>
      <c r="D65" s="4">
        <v>0.10512073000427299</v>
      </c>
      <c r="E65" s="3">
        <v>2.1011670360021499</v>
      </c>
      <c r="F65" s="4">
        <v>1.85301969599095</v>
      </c>
      <c r="G65" s="3">
        <v>272.27032297302497</v>
      </c>
      <c r="H65" s="4">
        <v>0.227812437995453</v>
      </c>
      <c r="I65" s="4">
        <v>23.900252123828999</v>
      </c>
      <c r="J65" s="4">
        <v>10.549173495266601</v>
      </c>
      <c r="K65" s="3">
        <v>515.28706105100002</v>
      </c>
      <c r="L65" s="5">
        <v>10.346714991843299</v>
      </c>
      <c r="M65" s="4">
        <v>2.60836791200563</v>
      </c>
      <c r="N65" s="3">
        <v>0.25298761809244802</v>
      </c>
      <c r="P65" s="5">
        <v>17.1857953867875</v>
      </c>
      <c r="Q65" s="4">
        <v>2.6681815530173498</v>
      </c>
      <c r="R65" s="3">
        <v>0.30027778400108202</v>
      </c>
      <c r="T65" s="5">
        <v>21.3945736000314</v>
      </c>
      <c r="U65" s="4">
        <v>2.93706000107341</v>
      </c>
      <c r="V65" s="3">
        <v>0.69220661697909203</v>
      </c>
    </row>
    <row r="66" spans="2:22" x14ac:dyDescent="0.25">
      <c r="B66" s="4">
        <v>2.0375370419933398</v>
      </c>
      <c r="C66" s="4">
        <v>0.37827972498780499</v>
      </c>
      <c r="D66" s="4">
        <v>0.106897135992767</v>
      </c>
      <c r="E66" s="3">
        <v>2.1287354200030602</v>
      </c>
      <c r="F66" s="4">
        <v>1.88851441998849</v>
      </c>
      <c r="G66" s="3">
        <v>272.53065263098603</v>
      </c>
      <c r="H66" s="4">
        <v>0.21785697400628101</v>
      </c>
      <c r="I66" s="4">
        <v>26.208792328834502</v>
      </c>
      <c r="J66" s="4">
        <v>10.7660586140119</v>
      </c>
      <c r="K66" s="3">
        <v>515.974804231897</v>
      </c>
      <c r="L66" s="5">
        <v>10.234124858165201</v>
      </c>
      <c r="M66" s="4">
        <v>2.9324353060219401</v>
      </c>
      <c r="N66" s="3">
        <v>0.24711070396006099</v>
      </c>
      <c r="P66" s="5">
        <v>17.0205545260105</v>
      </c>
      <c r="Q66" s="4">
        <v>2.86410298384726</v>
      </c>
      <c r="R66" s="3">
        <v>0.30565678793937001</v>
      </c>
      <c r="T66" s="5">
        <v>20.749170341063301</v>
      </c>
      <c r="U66" s="4">
        <v>2.9365643910132402</v>
      </c>
      <c r="V66" s="3">
        <v>0.68312824494205404</v>
      </c>
    </row>
    <row r="67" spans="2:22" x14ac:dyDescent="0.25">
      <c r="B67" s="4">
        <v>1.5252494830056</v>
      </c>
      <c r="C67" s="4">
        <v>0.39899328100727799</v>
      </c>
      <c r="D67" s="4">
        <v>0.108768015008536</v>
      </c>
      <c r="E67" s="3">
        <v>2.1469244799955001</v>
      </c>
      <c r="F67" s="4">
        <v>2.0492207350034701</v>
      </c>
      <c r="G67" s="3">
        <v>271.92099780897797</v>
      </c>
      <c r="H67" s="4">
        <v>0.22227100600139199</v>
      </c>
      <c r="I67" s="4">
        <v>26.685181208420499</v>
      </c>
      <c r="J67" s="4">
        <v>10.892569218762199</v>
      </c>
      <c r="K67" s="3">
        <v>523.09869490237895</v>
      </c>
      <c r="L67" s="5">
        <v>9.16523604700342</v>
      </c>
      <c r="M67" s="4">
        <v>2.8058604861143999</v>
      </c>
      <c r="N67" s="3">
        <v>0.245137829100713</v>
      </c>
      <c r="P67" s="5">
        <v>17.131935179932</v>
      </c>
      <c r="Q67" s="4">
        <v>2.7835489509161602</v>
      </c>
      <c r="R67" s="3">
        <v>0.30109463399276098</v>
      </c>
      <c r="T67" s="5">
        <v>20.843157429015299</v>
      </c>
      <c r="U67" s="4">
        <v>2.8300041230395401</v>
      </c>
      <c r="V67" s="3">
        <v>0.67687706695869598</v>
      </c>
    </row>
    <row r="68" spans="2:22" x14ac:dyDescent="0.25">
      <c r="B68" s="4">
        <v>1.5977703030075601</v>
      </c>
      <c r="C68" s="4">
        <v>0.389694850993691</v>
      </c>
      <c r="D68" s="4">
        <v>0.107066440992639</v>
      </c>
      <c r="E68" s="3">
        <v>2.1568280610081199</v>
      </c>
      <c r="F68" s="4">
        <v>1.85958880800171</v>
      </c>
      <c r="G68" s="3">
        <v>272.16709564000399</v>
      </c>
      <c r="H68" s="4">
        <v>0.22296693599491799</v>
      </c>
      <c r="I68" s="4">
        <v>25.472128102090199</v>
      </c>
      <c r="J68" s="4">
        <v>10.848026365041701</v>
      </c>
      <c r="K68" s="3">
        <v>515.96477264538396</v>
      </c>
      <c r="L68" s="5">
        <v>9.4629046570043993</v>
      </c>
      <c r="M68" s="4">
        <v>2.7366310090292201</v>
      </c>
      <c r="N68" s="3">
        <v>0.25158720696344999</v>
      </c>
      <c r="P68" s="5">
        <v>16.485418010968701</v>
      </c>
      <c r="Q68" s="4">
        <v>2.85048312600702</v>
      </c>
      <c r="R68" s="3">
        <v>0.29346084292046698</v>
      </c>
      <c r="T68" s="5">
        <v>20.844421047950199</v>
      </c>
      <c r="U68" s="4">
        <v>3.0354776331223499</v>
      </c>
      <c r="V68" s="3">
        <v>0.68604872608557299</v>
      </c>
    </row>
    <row r="69" spans="2:22" x14ac:dyDescent="0.25">
      <c r="B69" s="4">
        <v>1.5571937819913699</v>
      </c>
      <c r="C69" s="4">
        <v>0.38982883300923199</v>
      </c>
      <c r="D69" s="4">
        <v>0.10784682900703001</v>
      </c>
      <c r="E69" s="3">
        <v>2.1450099619978502</v>
      </c>
      <c r="F69" s="4">
        <v>1.9020550480054199</v>
      </c>
      <c r="G69" s="3">
        <v>271.81962942299998</v>
      </c>
      <c r="H69" s="4">
        <v>0.223329425003612</v>
      </c>
      <c r="I69" s="4">
        <v>25.812918948940901</v>
      </c>
      <c r="J69" s="4">
        <v>10.689073042012801</v>
      </c>
      <c r="K69" s="3">
        <v>516.01362197194305</v>
      </c>
      <c r="L69" s="5">
        <v>9.3773611830547505</v>
      </c>
      <c r="M69" s="4">
        <v>2.96969017595984</v>
      </c>
      <c r="N69" s="3">
        <v>0.26307869004085699</v>
      </c>
      <c r="P69" s="5">
        <v>17.521019358886399</v>
      </c>
      <c r="Q69" s="4">
        <v>2.72136878315359</v>
      </c>
      <c r="R69" s="3">
        <v>0.28743441705591999</v>
      </c>
      <c r="T69" s="5">
        <v>21.144556391052902</v>
      </c>
      <c r="U69" s="4">
        <v>2.9397131879814</v>
      </c>
      <c r="V69" s="3">
        <v>0.68449541996233199</v>
      </c>
    </row>
    <row r="70" spans="2:22" x14ac:dyDescent="0.25">
      <c r="B70" s="4">
        <v>2.2727650059969098</v>
      </c>
      <c r="C70" s="4">
        <v>0.40992172299593199</v>
      </c>
      <c r="D70" s="4">
        <v>0.107294875007937</v>
      </c>
      <c r="E70" s="3">
        <v>2.1361726960021699</v>
      </c>
      <c r="F70" s="4">
        <v>1.97532449199934</v>
      </c>
      <c r="G70" s="3">
        <v>271.39964500898998</v>
      </c>
      <c r="H70" s="4">
        <v>0.22139741499267901</v>
      </c>
      <c r="I70" s="4">
        <v>27.164028950966902</v>
      </c>
      <c r="J70" s="4">
        <v>10.8415730940178</v>
      </c>
      <c r="K70" s="3">
        <v>515.86822424689296</v>
      </c>
      <c r="L70" s="5">
        <v>9.0736112389713508</v>
      </c>
      <c r="M70" s="4">
        <v>3.0677652789745502</v>
      </c>
      <c r="N70" s="3">
        <v>0.25548606202937701</v>
      </c>
      <c r="P70" s="5">
        <v>16.372269094223199</v>
      </c>
      <c r="Q70" s="4">
        <v>2.74037196510471</v>
      </c>
      <c r="R70" s="3">
        <v>0.30021575605496797</v>
      </c>
      <c r="T70" s="5">
        <v>20.771281030960399</v>
      </c>
      <c r="U70" s="4">
        <v>3.0399810390081301</v>
      </c>
      <c r="V70" s="3">
        <v>0.67775471811182797</v>
      </c>
    </row>
    <row r="71" spans="2:22" x14ac:dyDescent="0.25">
      <c r="B71" s="4">
        <v>2.0405498259933599</v>
      </c>
      <c r="C71" s="4">
        <v>0.38828888299758502</v>
      </c>
      <c r="D71" s="4">
        <v>0.107894605986075</v>
      </c>
      <c r="E71" s="3">
        <v>2.1586687840026499</v>
      </c>
      <c r="F71" s="4">
        <v>1.8806458210019601</v>
      </c>
      <c r="G71" s="3">
        <v>271.85884710599203</v>
      </c>
      <c r="H71" s="4">
        <v>0.220583218993851</v>
      </c>
      <c r="I71" s="4">
        <v>24.8940932592377</v>
      </c>
      <c r="J71" s="4">
        <v>10.8327101492323</v>
      </c>
      <c r="K71" s="3">
        <v>515.79537796694797</v>
      </c>
      <c r="L71" s="5">
        <v>9.7746545698028093</v>
      </c>
      <c r="M71" s="4">
        <v>2.7305760360322902</v>
      </c>
      <c r="N71" s="3">
        <v>0.25471815303899398</v>
      </c>
      <c r="P71" s="5">
        <v>16.241757940035299</v>
      </c>
      <c r="Q71" s="4">
        <v>2.7104549249634098</v>
      </c>
      <c r="R71" s="3">
        <v>0.28964704019017501</v>
      </c>
      <c r="T71" s="5">
        <v>21.3995644228999</v>
      </c>
      <c r="U71" s="4">
        <v>2.8344610389321998</v>
      </c>
      <c r="V71" s="3">
        <v>0.68528971984051201</v>
      </c>
    </row>
    <row r="72" spans="2:22" x14ac:dyDescent="0.25">
      <c r="B72" s="4">
        <v>1.55054831100278</v>
      </c>
      <c r="C72" s="4">
        <v>0.39328547600598501</v>
      </c>
      <c r="D72" s="4">
        <v>0.11106407600163901</v>
      </c>
      <c r="E72" s="3">
        <v>2.13458846999856</v>
      </c>
      <c r="F72" s="4">
        <v>1.92677193399867</v>
      </c>
      <c r="G72" s="3">
        <v>272.28776786199802</v>
      </c>
      <c r="H72" s="4">
        <v>0.22237413200491499</v>
      </c>
      <c r="I72" s="4">
        <v>26.045438284054399</v>
      </c>
      <c r="J72" s="4">
        <v>10.784110315144099</v>
      </c>
      <c r="K72" s="3">
        <v>515.42102715885301</v>
      </c>
      <c r="L72" s="5">
        <v>11.0240349499509</v>
      </c>
      <c r="M72" s="4">
        <v>2.6921598040498802</v>
      </c>
      <c r="N72" s="3">
        <v>0.27086980710737402</v>
      </c>
      <c r="P72" s="5">
        <v>15.9886578889564</v>
      </c>
      <c r="Q72" s="4">
        <v>2.62798000895418</v>
      </c>
      <c r="R72" s="3">
        <v>0.29128971695900002</v>
      </c>
      <c r="T72" s="5">
        <v>21.400539000053001</v>
      </c>
      <c r="U72" s="4">
        <v>3.0271507620345801</v>
      </c>
      <c r="V72" s="3">
        <v>0.67939028190448902</v>
      </c>
    </row>
    <row r="73" spans="2:22" x14ac:dyDescent="0.25">
      <c r="B73" s="4">
        <v>1.2813477229938099</v>
      </c>
      <c r="C73" s="4">
        <v>0.378780762010137</v>
      </c>
      <c r="D73" s="4">
        <v>0.111048887003562</v>
      </c>
      <c r="E73" s="3">
        <v>2.0129123219958198</v>
      </c>
      <c r="F73" s="4">
        <v>1.88989201599906</v>
      </c>
      <c r="G73" s="3">
        <v>272.782623556006</v>
      </c>
      <c r="H73" s="4">
        <v>0.22164560000237499</v>
      </c>
      <c r="I73" s="4">
        <v>26.562376398127501</v>
      </c>
      <c r="J73" s="4">
        <v>11.1459451732226</v>
      </c>
      <c r="K73" s="3">
        <v>515.62721549999003</v>
      </c>
      <c r="L73" s="5">
        <v>9.1308504079934192</v>
      </c>
      <c r="M73" s="4">
        <v>2.8544937781989601</v>
      </c>
      <c r="N73" s="3">
        <v>0.25241627800278399</v>
      </c>
      <c r="P73" s="5">
        <v>16.037587366998199</v>
      </c>
      <c r="Q73" s="4">
        <v>2.6649032770656098</v>
      </c>
      <c r="R73" s="3">
        <v>0.29416566900908903</v>
      </c>
      <c r="T73" s="5">
        <v>20.429292123997602</v>
      </c>
      <c r="U73" s="4">
        <v>2.8269963308703199</v>
      </c>
      <c r="V73" s="3">
        <v>0.68473685579374399</v>
      </c>
    </row>
    <row r="74" spans="2:22" x14ac:dyDescent="0.25">
      <c r="B74" s="4">
        <v>2.04511254900717</v>
      </c>
      <c r="C74" s="4">
        <v>0.397278970005572</v>
      </c>
      <c r="D74" s="4">
        <v>0.106929397006751</v>
      </c>
      <c r="E74" s="3">
        <v>2.1194543330057001</v>
      </c>
      <c r="F74" s="4">
        <v>1.9363232680043401</v>
      </c>
      <c r="G74" s="3">
        <v>271.92595418199198</v>
      </c>
      <c r="H74" s="4">
        <v>0.22615802400105101</v>
      </c>
      <c r="I74" s="4">
        <v>24.975615234114201</v>
      </c>
      <c r="J74" s="4">
        <v>10.761100200004901</v>
      </c>
      <c r="K74" s="3">
        <v>515.10987666062999</v>
      </c>
      <c r="L74" s="5">
        <v>9.7158411019481701</v>
      </c>
      <c r="M74" s="4">
        <v>2.7832967431750202</v>
      </c>
      <c r="N74" s="3">
        <v>0.26066174590960101</v>
      </c>
      <c r="P74" s="5">
        <v>16.317054505227102</v>
      </c>
      <c r="Q74" s="4">
        <v>2.6228435940574899</v>
      </c>
      <c r="R74" s="3">
        <v>0.29581511090509599</v>
      </c>
      <c r="T74" s="5">
        <v>21.8009639128577</v>
      </c>
      <c r="U74" s="4">
        <v>2.9422079150099298</v>
      </c>
      <c r="V74" s="3">
        <v>0.68280542595311999</v>
      </c>
    </row>
    <row r="75" spans="2:22" x14ac:dyDescent="0.25">
      <c r="B75" s="4">
        <v>4.0184208830032704</v>
      </c>
      <c r="C75" s="4">
        <v>0.37893309500941502</v>
      </c>
      <c r="D75" s="4">
        <v>0.11091117298929</v>
      </c>
      <c r="E75" s="3">
        <v>2.0779552070016498</v>
      </c>
      <c r="F75" s="4">
        <v>1.98534624000603</v>
      </c>
      <c r="G75" s="3">
        <v>272.22709586200602</v>
      </c>
      <c r="H75" s="4">
        <v>0.22062942999764301</v>
      </c>
      <c r="I75" s="4">
        <v>25.122221257071899</v>
      </c>
      <c r="J75" s="4">
        <v>11.217252972070099</v>
      </c>
      <c r="K75" s="3">
        <v>515.81370627833496</v>
      </c>
      <c r="L75" s="5">
        <v>9.8745018788613397</v>
      </c>
      <c r="M75" s="4">
        <v>2.8982338991481802</v>
      </c>
      <c r="N75" s="3">
        <v>0.25325479009188701</v>
      </c>
      <c r="P75" s="5">
        <v>16.722650816198399</v>
      </c>
      <c r="Q75" s="4">
        <v>2.9238935750909198</v>
      </c>
      <c r="R75" s="3">
        <v>0.30077146901749102</v>
      </c>
      <c r="T75" s="5">
        <v>21.8360152491368</v>
      </c>
      <c r="U75" s="4">
        <v>2.9772963169962199</v>
      </c>
      <c r="V75" s="3">
        <v>0.68534989096224297</v>
      </c>
    </row>
    <row r="76" spans="2:22" x14ac:dyDescent="0.25">
      <c r="B76" s="4">
        <v>1.55805835100181</v>
      </c>
      <c r="C76" s="4">
        <v>0.39991942601045499</v>
      </c>
      <c r="D76" s="4">
        <v>0.110248460012371</v>
      </c>
      <c r="E76" s="3">
        <v>2.0500885500077799</v>
      </c>
      <c r="F76" s="4">
        <v>1.83324577800522</v>
      </c>
      <c r="G76" s="3">
        <v>271.95620090101102</v>
      </c>
      <c r="H76" s="4">
        <v>0.22124703400186199</v>
      </c>
      <c r="I76" s="4">
        <v>25.577589428052299</v>
      </c>
      <c r="J76" s="4">
        <v>11.108582246117299</v>
      </c>
      <c r="K76" s="3">
        <v>515.73900602990796</v>
      </c>
      <c r="L76" s="5">
        <v>11.2584122668486</v>
      </c>
      <c r="M76" s="4">
        <v>2.65395020600408</v>
      </c>
      <c r="N76" s="3">
        <v>0.26601896598003799</v>
      </c>
      <c r="P76" s="5">
        <v>16.599472795147499</v>
      </c>
      <c r="Q76" s="4">
        <v>2.7563631220254998</v>
      </c>
      <c r="R76" s="3">
        <v>0.30582268699072301</v>
      </c>
      <c r="T76" s="5">
        <v>21.0425424429122</v>
      </c>
      <c r="U76" s="4">
        <v>2.7301077288575502</v>
      </c>
      <c r="V76" s="3">
        <v>0.67760975006967805</v>
      </c>
    </row>
    <row r="77" spans="2:22" x14ac:dyDescent="0.25">
      <c r="B77" s="4">
        <v>2.3004209160135298</v>
      </c>
      <c r="C77" s="4">
        <v>0.391570634004892</v>
      </c>
      <c r="D77" s="4">
        <v>0.105140601008315</v>
      </c>
      <c r="E77" s="3">
        <v>2.1443175960012</v>
      </c>
      <c r="F77" s="4">
        <v>1.8153308030014099</v>
      </c>
      <c r="G77" s="3">
        <v>272.61565443899599</v>
      </c>
      <c r="H77" s="4">
        <v>0.22196431799966301</v>
      </c>
      <c r="I77" s="4">
        <v>25.814008060842799</v>
      </c>
      <c r="J77" s="4">
        <v>10.4902152731083</v>
      </c>
      <c r="K77" s="3">
        <v>514.96873088600103</v>
      </c>
      <c r="L77" s="5">
        <v>10.1338810960297</v>
      </c>
      <c r="M77" s="4">
        <v>2.6027901170309602</v>
      </c>
      <c r="N77" s="3">
        <v>0.25139200501143899</v>
      </c>
      <c r="P77" s="5">
        <v>15.866465377854199</v>
      </c>
      <c r="Q77" s="4">
        <v>2.7967839301563799</v>
      </c>
      <c r="R77" s="3">
        <v>0.31218763999640903</v>
      </c>
      <c r="T77" s="5">
        <v>25.063423254992799</v>
      </c>
      <c r="U77" s="4">
        <v>3.0391234660055502</v>
      </c>
      <c r="V77" s="3">
        <v>0.68858649884350598</v>
      </c>
    </row>
    <row r="78" spans="2:22" x14ac:dyDescent="0.25">
      <c r="B78" s="4">
        <v>4.3094077639980197</v>
      </c>
      <c r="C78" s="4">
        <v>0.38268219400197201</v>
      </c>
      <c r="D78" s="4">
        <v>0.10801583300053599</v>
      </c>
      <c r="E78" s="3">
        <v>2.13650865199451</v>
      </c>
      <c r="F78" s="4">
        <v>1.9313515249959801</v>
      </c>
      <c r="G78" s="3">
        <v>271.490494511002</v>
      </c>
      <c r="H78" s="4">
        <v>0.22028668501297899</v>
      </c>
      <c r="I78" s="4">
        <v>27.2548334361054</v>
      </c>
      <c r="J78" s="4">
        <v>10.454567107837599</v>
      </c>
      <c r="K78" s="3">
        <v>515.697836046107</v>
      </c>
      <c r="L78" s="5">
        <v>10.549941295990701</v>
      </c>
      <c r="M78" s="4">
        <v>3.2410312867723401</v>
      </c>
      <c r="N78" s="3">
        <v>0.26053010392934101</v>
      </c>
      <c r="P78" s="5">
        <v>16.045810049166899</v>
      </c>
      <c r="Q78" s="4">
        <v>2.74670367687941</v>
      </c>
      <c r="R78" s="3">
        <v>0.30465497798286401</v>
      </c>
      <c r="T78" s="5">
        <v>23.1705134499352</v>
      </c>
      <c r="U78" s="4">
        <v>2.8901601629331699</v>
      </c>
      <c r="V78" s="3">
        <v>0.67847258085384998</v>
      </c>
    </row>
    <row r="79" spans="2:22" x14ac:dyDescent="0.25">
      <c r="B79" s="4">
        <v>3.2953500150033501</v>
      </c>
      <c r="C79" s="4">
        <v>0.40768041300179902</v>
      </c>
      <c r="D79" s="4">
        <v>0.10693494099541501</v>
      </c>
      <c r="E79" s="3">
        <v>2.1244653470057502</v>
      </c>
      <c r="F79" s="4">
        <v>2.0349506939965001</v>
      </c>
      <c r="G79" s="3">
        <v>271.55132135699301</v>
      </c>
      <c r="H79" s="4">
        <v>0.222542440009419</v>
      </c>
      <c r="I79" s="4">
        <v>25.760500994045302</v>
      </c>
      <c r="J79" s="4">
        <v>10.8019239022397</v>
      </c>
      <c r="K79" s="3">
        <v>515.762229192071</v>
      </c>
      <c r="L79" s="5">
        <v>10.3425906978082</v>
      </c>
      <c r="M79" s="4">
        <v>2.49582897382788</v>
      </c>
      <c r="N79" s="3">
        <v>0.25605452316813199</v>
      </c>
      <c r="P79" s="5">
        <v>16.1958893300034</v>
      </c>
      <c r="Q79" s="4">
        <v>2.7389623019844298</v>
      </c>
      <c r="R79" s="3">
        <v>0.29659231612458797</v>
      </c>
      <c r="T79" s="5">
        <v>22.04535240517</v>
      </c>
      <c r="U79" s="4">
        <v>2.9732535600196601</v>
      </c>
      <c r="V79" s="3">
        <v>0.68393611512146901</v>
      </c>
    </row>
    <row r="80" spans="2:22" x14ac:dyDescent="0.25">
      <c r="B80" s="4">
        <v>1.5472720649995599</v>
      </c>
      <c r="C80" s="4">
        <v>0.38313883800583398</v>
      </c>
      <c r="D80" s="4">
        <v>0.118814694011234</v>
      </c>
      <c r="E80" s="3">
        <v>2.1060012949892499</v>
      </c>
      <c r="F80" s="4">
        <v>2.0400162610021599</v>
      </c>
      <c r="G80" s="3">
        <v>271.05290274400602</v>
      </c>
      <c r="H80" s="4">
        <v>0.22220777400070801</v>
      </c>
      <c r="I80" s="4">
        <v>26.0614278567955</v>
      </c>
      <c r="J80" s="4">
        <v>10.606476416811301</v>
      </c>
      <c r="K80" s="3">
        <v>515.84108768310398</v>
      </c>
      <c r="L80" s="5">
        <v>10.866819872055199</v>
      </c>
      <c r="M80" s="4">
        <v>2.4907392268069102</v>
      </c>
      <c r="N80" s="3">
        <v>0.26687700999900699</v>
      </c>
      <c r="P80" s="5">
        <v>16.256086804904001</v>
      </c>
      <c r="Q80" s="4">
        <v>2.7499193490948501</v>
      </c>
      <c r="R80" s="3">
        <v>0.28729614196345199</v>
      </c>
      <c r="T80" s="5">
        <v>21.6994587040972</v>
      </c>
      <c r="U80" s="4">
        <v>2.8744260622188502</v>
      </c>
      <c r="V80" s="3">
        <v>0.67933076503686596</v>
      </c>
    </row>
    <row r="81" spans="2:22" x14ac:dyDescent="0.25">
      <c r="B81" s="4">
        <v>1.54527973299263</v>
      </c>
      <c r="C81" s="4">
        <v>0.38924611199763598</v>
      </c>
      <c r="D81" s="4">
        <v>0.10501366399694199</v>
      </c>
      <c r="E81" s="3">
        <v>2.1715681700006799</v>
      </c>
      <c r="F81" s="4">
        <v>1.8641481630038399</v>
      </c>
      <c r="G81" s="3">
        <v>271.75481604601299</v>
      </c>
      <c r="H81" s="4">
        <v>0.22601396001118701</v>
      </c>
      <c r="I81" s="4">
        <v>26.157315515913101</v>
      </c>
      <c r="J81" s="4">
        <v>10.763334283139599</v>
      </c>
      <c r="K81" s="3">
        <v>515.41904261195998</v>
      </c>
      <c r="L81" s="5">
        <v>9.9492231048643607</v>
      </c>
      <c r="M81" s="4">
        <v>2.6962304979097098</v>
      </c>
      <c r="N81" s="3">
        <v>0.253419386921451</v>
      </c>
      <c r="P81" s="5">
        <v>16.073292779969101</v>
      </c>
      <c r="Q81" s="4">
        <v>2.6321002028416798</v>
      </c>
      <c r="R81" s="3">
        <v>0.31374974502250602</v>
      </c>
      <c r="T81" s="5">
        <v>22.212338017066902</v>
      </c>
      <c r="U81" s="4">
        <v>2.9808429970871702</v>
      </c>
      <c r="V81" s="3">
        <v>0.68554801587015401</v>
      </c>
    </row>
    <row r="82" spans="2:22" x14ac:dyDescent="0.25">
      <c r="B82" s="4">
        <v>3.7704876089992401</v>
      </c>
      <c r="C82" s="4">
        <v>0.39209252200089301</v>
      </c>
      <c r="D82" s="4">
        <v>0.109437976003391</v>
      </c>
      <c r="E82" s="3">
        <v>2.18597131200658</v>
      </c>
      <c r="F82" s="4">
        <v>1.90247577099944</v>
      </c>
      <c r="G82" s="3">
        <v>271.90098652499699</v>
      </c>
      <c r="H82" s="4">
        <v>0.22283780900761399</v>
      </c>
      <c r="I82" s="4">
        <v>26.106330943293901</v>
      </c>
      <c r="J82" s="4">
        <v>10.710338294971701</v>
      </c>
      <c r="K82" s="3">
        <v>516.25632084580104</v>
      </c>
      <c r="L82" s="5">
        <v>10.9375884309411</v>
      </c>
      <c r="M82" s="4">
        <v>3.0104735121130899</v>
      </c>
      <c r="N82" s="3">
        <v>0.261311925947666</v>
      </c>
      <c r="P82" s="5">
        <v>16.0915700129699</v>
      </c>
      <c r="Q82" s="4">
        <v>2.8700577740091799</v>
      </c>
      <c r="R82" s="3">
        <v>0.29632480302825598</v>
      </c>
      <c r="T82" s="5">
        <v>23.060586997074999</v>
      </c>
      <c r="U82" s="4">
        <v>2.8694506289903101</v>
      </c>
      <c r="V82" s="3">
        <v>0.68497001985088002</v>
      </c>
    </row>
    <row r="83" spans="2:22" x14ac:dyDescent="0.25">
      <c r="B83" s="4">
        <v>3.29439626498788</v>
      </c>
      <c r="C83" s="4">
        <v>0.395735161000629</v>
      </c>
      <c r="D83" s="4">
        <v>0.11044633798883199</v>
      </c>
      <c r="E83" s="3">
        <v>2.1362067050067699</v>
      </c>
      <c r="F83" s="4">
        <v>1.9947784950054399</v>
      </c>
      <c r="G83" s="3">
        <v>272.41017586400199</v>
      </c>
      <c r="H83" s="4">
        <v>0.22188751300564</v>
      </c>
      <c r="I83" s="4">
        <v>25.452808304224199</v>
      </c>
      <c r="J83" s="4">
        <v>11.0646575363353</v>
      </c>
      <c r="K83" s="3">
        <v>516.17416866496205</v>
      </c>
      <c r="L83" s="5">
        <v>10.6997711649165</v>
      </c>
      <c r="M83" s="4">
        <v>2.7409344580955799</v>
      </c>
      <c r="N83" s="3">
        <v>0.25884419307112699</v>
      </c>
      <c r="P83" s="5">
        <v>17.0368897749577</v>
      </c>
      <c r="Q83" s="4">
        <v>2.7427817510906598</v>
      </c>
      <c r="R83" s="3">
        <v>0.30306393792852798</v>
      </c>
      <c r="T83" s="5">
        <v>22.539135358994798</v>
      </c>
      <c r="U83" s="4">
        <v>3.0928059308789702</v>
      </c>
      <c r="V83" s="3">
        <v>0.67786316596902896</v>
      </c>
    </row>
    <row r="84" spans="2:22" x14ac:dyDescent="0.25">
      <c r="B84" s="4">
        <v>1.5047163970011701</v>
      </c>
      <c r="C84" s="4">
        <v>0.400256920998799</v>
      </c>
      <c r="D84" s="4">
        <v>0.10499838499526901</v>
      </c>
      <c r="E84" s="3">
        <v>2.1314091639942401</v>
      </c>
      <c r="F84" s="4">
        <v>1.87445855600526</v>
      </c>
      <c r="G84" s="3">
        <v>271.851947610004</v>
      </c>
      <c r="H84" s="4">
        <v>0.22404748499684499</v>
      </c>
      <c r="I84" s="4">
        <v>25.7505825762637</v>
      </c>
      <c r="J84" s="4">
        <v>11.023847619071599</v>
      </c>
      <c r="K84" s="3">
        <v>514.96578815719101</v>
      </c>
      <c r="L84" s="5">
        <v>9.9536858920473605</v>
      </c>
      <c r="M84" s="4">
        <v>3.18877039593644</v>
      </c>
      <c r="N84" s="3">
        <v>0.27753533702343702</v>
      </c>
      <c r="P84" s="5">
        <v>15.8874783648644</v>
      </c>
      <c r="Q84" s="4">
        <v>2.67948070215061</v>
      </c>
      <c r="R84" s="3">
        <v>0.29890973796136699</v>
      </c>
      <c r="T84" s="5">
        <v>21.6524684471078</v>
      </c>
      <c r="U84" s="4">
        <v>2.93935673078522</v>
      </c>
      <c r="V84" s="3">
        <v>0.68618262885138404</v>
      </c>
    </row>
    <row r="85" spans="2:22" x14ac:dyDescent="0.25">
      <c r="B85" s="4">
        <v>1.80206637299852</v>
      </c>
      <c r="C85" s="4">
        <v>0.393718689010711</v>
      </c>
      <c r="D85" s="4">
        <v>0.104892600997118</v>
      </c>
      <c r="E85" s="3">
        <v>2.0356853670091302</v>
      </c>
      <c r="F85" s="4">
        <v>1.90028732499922</v>
      </c>
      <c r="G85" s="3">
        <v>272.278166217001</v>
      </c>
      <c r="H85" s="4">
        <v>0.221907604005537</v>
      </c>
      <c r="I85" s="4">
        <v>24.207262769807102</v>
      </c>
      <c r="J85" s="4">
        <v>11.0769422193989</v>
      </c>
      <c r="K85" s="3">
        <v>514.04151893686503</v>
      </c>
      <c r="L85" s="5">
        <v>10.5557117559947</v>
      </c>
      <c r="M85" s="4">
        <v>2.5782168249134001</v>
      </c>
      <c r="N85" s="3">
        <v>0.251785587985069</v>
      </c>
      <c r="P85" s="5">
        <v>16.223089023027601</v>
      </c>
      <c r="Q85" s="4">
        <v>2.6738461931236102</v>
      </c>
      <c r="R85" s="3">
        <v>0.30030338396318301</v>
      </c>
      <c r="T85" s="5">
        <v>22.338420225074501</v>
      </c>
      <c r="U85" s="4">
        <v>3.0588378198444799</v>
      </c>
      <c r="V85" s="3">
        <v>0.67733702994883105</v>
      </c>
    </row>
    <row r="86" spans="2:22" x14ac:dyDescent="0.25">
      <c r="B86" s="4">
        <v>3.5624054209911198</v>
      </c>
      <c r="C86" s="4">
        <v>0.38978010599384999</v>
      </c>
      <c r="D86" s="4">
        <v>0.106322719002491</v>
      </c>
      <c r="E86" s="3">
        <v>2.1291199650004198</v>
      </c>
      <c r="F86" s="4">
        <v>1.92245877700042</v>
      </c>
      <c r="G86" s="3">
        <v>272.29320401401401</v>
      </c>
      <c r="H86" s="4">
        <v>0.22378349700011299</v>
      </c>
      <c r="I86" s="4">
        <v>24.513644522056001</v>
      </c>
      <c r="J86" s="4">
        <v>10.8035445418209</v>
      </c>
      <c r="K86" s="3">
        <v>515.08586366800603</v>
      </c>
      <c r="L86" s="5">
        <v>10.203080286970399</v>
      </c>
      <c r="M86" s="4">
        <v>2.5967048839665998</v>
      </c>
      <c r="N86" s="3">
        <v>0.25898185302503401</v>
      </c>
      <c r="P86" s="5">
        <v>16.6610349589027</v>
      </c>
      <c r="Q86" s="4">
        <v>2.8410278090741499</v>
      </c>
      <c r="R86" s="3">
        <v>0.29567549494095102</v>
      </c>
      <c r="T86" s="5">
        <v>22.2501350608654</v>
      </c>
      <c r="U86" s="4">
        <v>2.8659839029423901</v>
      </c>
      <c r="V86" s="3">
        <v>0.69307994307018805</v>
      </c>
    </row>
    <row r="87" spans="2:22" x14ac:dyDescent="0.25">
      <c r="B87" s="4">
        <v>1.5611898220086</v>
      </c>
      <c r="C87" s="4">
        <v>0.37984784200671101</v>
      </c>
      <c r="D87" s="4">
        <v>0.10615057800896401</v>
      </c>
      <c r="E87" s="3">
        <v>2.1823175629979201</v>
      </c>
      <c r="F87" s="4">
        <v>1.85010639100801</v>
      </c>
      <c r="G87" s="3">
        <v>271.93556368499401</v>
      </c>
      <c r="H87" s="4">
        <v>0.22603143700689499</v>
      </c>
      <c r="I87" s="4">
        <v>25.9627766669728</v>
      </c>
      <c r="J87" s="4">
        <v>10.985227515921</v>
      </c>
      <c r="K87" s="3">
        <v>515.233211400919</v>
      </c>
      <c r="L87" s="5">
        <v>13.5836559128948</v>
      </c>
      <c r="M87" s="4">
        <v>2.6308346281293802</v>
      </c>
      <c r="N87" s="3">
        <v>0.25968237593769999</v>
      </c>
      <c r="P87" s="5">
        <v>16.0292112110183</v>
      </c>
      <c r="Q87" s="4">
        <v>2.8113777888938798</v>
      </c>
      <c r="R87" s="3">
        <v>0.29236463201232299</v>
      </c>
      <c r="T87" s="5">
        <v>24.757589328102799</v>
      </c>
      <c r="U87" s="4">
        <v>2.8912827130407099</v>
      </c>
      <c r="V87" s="3">
        <v>0.66412064898759104</v>
      </c>
    </row>
    <row r="88" spans="2:22" x14ac:dyDescent="0.25">
      <c r="B88" s="4">
        <v>1.51468769100029</v>
      </c>
      <c r="C88" s="4">
        <v>0.384598770993761</v>
      </c>
      <c r="D88" s="4">
        <v>0.110570748001919</v>
      </c>
      <c r="E88" s="3">
        <v>2.1325260689918601</v>
      </c>
      <c r="F88" s="4">
        <v>1.8790946840017499</v>
      </c>
      <c r="G88" s="3">
        <v>272.20688746700699</v>
      </c>
      <c r="H88" s="4">
        <v>0.21993302699411199</v>
      </c>
      <c r="I88" s="4">
        <v>25.247976868413399</v>
      </c>
      <c r="J88" s="4">
        <v>10.6641154121608</v>
      </c>
      <c r="K88" s="3">
        <v>515.56578411301598</v>
      </c>
      <c r="L88" s="5">
        <v>9.8583637119736505</v>
      </c>
      <c r="M88" s="4">
        <v>2.5359127500560099</v>
      </c>
      <c r="N88" s="3">
        <v>0.25878787785768498</v>
      </c>
      <c r="P88" s="5">
        <v>16.335030794842201</v>
      </c>
      <c r="Q88" s="4">
        <v>2.8806696250103401</v>
      </c>
      <c r="R88" s="3">
        <v>0.29948978009633698</v>
      </c>
      <c r="T88" s="5">
        <v>22.518537963973401</v>
      </c>
      <c r="U88" s="4">
        <v>2.8959777220152301</v>
      </c>
      <c r="V88" s="3">
        <v>0.69909118884243104</v>
      </c>
    </row>
    <row r="89" spans="2:22" x14ac:dyDescent="0.25">
      <c r="B89" s="4">
        <v>1.61514547999831</v>
      </c>
      <c r="C89" s="4">
        <v>0.39105162900523199</v>
      </c>
      <c r="D89" s="4">
        <v>0.110326251000515</v>
      </c>
      <c r="E89" s="3">
        <v>2.12809825400472</v>
      </c>
      <c r="F89" s="4">
        <v>1.9338955849962001</v>
      </c>
      <c r="G89" s="3">
        <v>272.29330385799398</v>
      </c>
      <c r="H89" s="4">
        <v>0.223574183008167</v>
      </c>
      <c r="I89" s="4">
        <v>24.796851991675801</v>
      </c>
      <c r="J89" s="4">
        <v>10.6834461237304</v>
      </c>
      <c r="K89" s="3">
        <v>515.12859593005896</v>
      </c>
      <c r="L89" s="5">
        <v>11.4768454108853</v>
      </c>
      <c r="M89" s="4">
        <v>2.8479841798543899</v>
      </c>
      <c r="N89" s="3">
        <v>0.26245765481144201</v>
      </c>
      <c r="P89" s="5">
        <v>16.782367340987602</v>
      </c>
      <c r="Q89" s="4">
        <v>2.65276637393981</v>
      </c>
      <c r="R89" s="3">
        <v>0.303542206063867</v>
      </c>
      <c r="T89" s="5">
        <v>22.039464585017399</v>
      </c>
      <c r="U89" s="4">
        <v>2.9145696498453599</v>
      </c>
      <c r="V89" s="3">
        <v>0.71512183104641702</v>
      </c>
    </row>
    <row r="90" spans="2:22" x14ac:dyDescent="0.25">
      <c r="B90" s="4">
        <v>3.2823623849981201</v>
      </c>
      <c r="C90" s="4">
        <v>0.384175344996037</v>
      </c>
      <c r="D90" s="4">
        <v>0.108640274993376</v>
      </c>
      <c r="E90" s="3">
        <v>2.150304203009</v>
      </c>
      <c r="F90" s="4">
        <v>1.8883124189887801</v>
      </c>
      <c r="G90" s="3">
        <v>272.28020610500198</v>
      </c>
      <c r="H90" s="4">
        <v>0.228310655991663</v>
      </c>
      <c r="I90" s="4">
        <v>25.063615262042699</v>
      </c>
      <c r="J90" s="4">
        <v>10.770686573814601</v>
      </c>
      <c r="K90" s="3">
        <v>515.66340088611503</v>
      </c>
      <c r="L90" s="5">
        <v>10.2839083510917</v>
      </c>
      <c r="M90" s="4">
        <v>2.5050535560585598</v>
      </c>
      <c r="N90" s="3">
        <v>0.24790273001417501</v>
      </c>
      <c r="P90" s="5">
        <v>17.035174434073301</v>
      </c>
      <c r="Q90" s="4">
        <v>2.7647567628882799</v>
      </c>
      <c r="R90" s="3">
        <v>0.29329405003227299</v>
      </c>
      <c r="T90" s="5">
        <v>22.0014621058945</v>
      </c>
      <c r="U90" s="4">
        <v>2.8384633900131999</v>
      </c>
      <c r="V90" s="3">
        <v>0.68929135194048297</v>
      </c>
    </row>
    <row r="91" spans="2:22" x14ac:dyDescent="0.25">
      <c r="B91" s="4">
        <v>1.6261384029930901</v>
      </c>
      <c r="C91" s="4">
        <v>0.38440169900422899</v>
      </c>
      <c r="D91" s="4">
        <v>0.106726807003724</v>
      </c>
      <c r="E91" s="3">
        <v>2.2217895049980099</v>
      </c>
      <c r="F91" s="4">
        <v>1.91514158000063</v>
      </c>
      <c r="G91" s="3">
        <v>271.58800724398998</v>
      </c>
      <c r="H91" s="4">
        <v>0.220523085998138</v>
      </c>
      <c r="I91" s="4">
        <v>25.0442707170732</v>
      </c>
      <c r="J91" s="4">
        <v>10.786458390764899</v>
      </c>
      <c r="K91" s="3">
        <v>516.00508488202502</v>
      </c>
      <c r="L91" s="5">
        <v>14.196645778138199</v>
      </c>
      <c r="M91" s="4">
        <v>2.68072491581552</v>
      </c>
      <c r="N91" s="3">
        <v>0.24910954083316</v>
      </c>
      <c r="P91" s="5">
        <v>17.033902781084201</v>
      </c>
      <c r="Q91" s="4">
        <v>2.7236311750020801</v>
      </c>
      <c r="R91" s="3">
        <v>0.29910400300286699</v>
      </c>
      <c r="T91" s="5">
        <v>22.499515281058802</v>
      </c>
      <c r="U91" s="4">
        <v>3.0219236679840802</v>
      </c>
      <c r="V91" s="3">
        <v>0.71524305292405199</v>
      </c>
    </row>
    <row r="92" spans="2:22" x14ac:dyDescent="0.25">
      <c r="B92" s="4">
        <v>2.2705944629997199</v>
      </c>
      <c r="C92" s="4">
        <v>0.37760287700803002</v>
      </c>
      <c r="D92" s="4">
        <v>0.10895657299261</v>
      </c>
      <c r="E92" s="3">
        <v>2.0971067579957801</v>
      </c>
      <c r="F92" s="4">
        <v>1.8113341449934499</v>
      </c>
      <c r="G92" s="3">
        <v>272.04398261598499</v>
      </c>
      <c r="H92" s="4">
        <v>0.224259241003892</v>
      </c>
      <c r="I92" s="4">
        <v>22.527787309139999</v>
      </c>
      <c r="J92" s="4">
        <v>10.6489889803343</v>
      </c>
      <c r="K92" s="3">
        <v>517.64300589310005</v>
      </c>
      <c r="L92" s="5">
        <v>10.991814405890199</v>
      </c>
      <c r="M92" s="4">
        <v>2.8113685050047899</v>
      </c>
      <c r="N92" s="3">
        <v>0.25869230693206202</v>
      </c>
      <c r="P92" s="5">
        <v>16.0024462889414</v>
      </c>
      <c r="Q92" s="4">
        <v>2.6864074640907298</v>
      </c>
      <c r="R92" s="3">
        <v>0.29695005202665897</v>
      </c>
      <c r="T92" s="5">
        <v>21.594267285894599</v>
      </c>
      <c r="U92" s="4">
        <v>2.9579981800634401</v>
      </c>
      <c r="V92" s="3">
        <v>0.68544696294702601</v>
      </c>
    </row>
    <row r="93" spans="2:22" x14ac:dyDescent="0.25">
      <c r="B93" s="4">
        <v>4.0238249789981602</v>
      </c>
      <c r="C93" s="4">
        <v>0.39343270199606101</v>
      </c>
      <c r="D93" s="4">
        <v>0.104994929992244</v>
      </c>
      <c r="E93" s="3">
        <v>2.0405950479907902</v>
      </c>
      <c r="F93" s="4">
        <v>2.0021539110020901</v>
      </c>
      <c r="G93" s="3">
        <v>271.62946618700499</v>
      </c>
      <c r="H93" s="4">
        <v>0.22355018199596</v>
      </c>
      <c r="I93" s="4">
        <v>25.228034905158001</v>
      </c>
      <c r="J93" s="4">
        <v>10.5411652238108</v>
      </c>
      <c r="K93" s="3">
        <v>515.57678409991797</v>
      </c>
      <c r="L93" s="5">
        <v>11.021412597969199</v>
      </c>
      <c r="M93" s="4">
        <v>2.68828069511801</v>
      </c>
      <c r="N93" s="3">
        <v>0.26136518595740199</v>
      </c>
      <c r="P93" s="5">
        <v>15.8515848419629</v>
      </c>
      <c r="Q93" s="4">
        <v>2.7282744250260298</v>
      </c>
      <c r="R93" s="3">
        <v>0.29622710612602499</v>
      </c>
      <c r="T93" s="5">
        <v>21.805270523065701</v>
      </c>
      <c r="U93" s="4">
        <v>2.87178882909939</v>
      </c>
      <c r="V93" s="3">
        <v>0.67932426393963397</v>
      </c>
    </row>
    <row r="94" spans="2:22" x14ac:dyDescent="0.25">
      <c r="B94" s="4">
        <v>1.5327126439951799</v>
      </c>
      <c r="C94" s="4">
        <v>0.38221588700253001</v>
      </c>
      <c r="D94" s="4">
        <v>0.106135663008899</v>
      </c>
      <c r="E94" s="3">
        <v>2.0616057429870098</v>
      </c>
      <c r="F94" s="4">
        <v>1.79474016699532</v>
      </c>
      <c r="G94" s="3">
        <v>272.101100355997</v>
      </c>
      <c r="H94" s="4">
        <v>0.22346923600707599</v>
      </c>
      <c r="I94" s="4">
        <v>25.1879672920331</v>
      </c>
      <c r="J94" s="4">
        <v>11.1132122944109</v>
      </c>
      <c r="K94" s="3">
        <v>515.63719983072997</v>
      </c>
      <c r="L94" s="5">
        <v>10.0866069330368</v>
      </c>
      <c r="M94" s="4">
        <v>2.6757356331217999</v>
      </c>
      <c r="N94" s="3">
        <v>0.278604216873646</v>
      </c>
      <c r="P94" s="5">
        <v>16.634402015013599</v>
      </c>
      <c r="Q94" s="4">
        <v>2.7438257799949501</v>
      </c>
      <c r="R94" s="3">
        <v>0.29583501396700701</v>
      </c>
      <c r="T94" s="5">
        <v>22.378068287856902</v>
      </c>
      <c r="U94" s="4">
        <v>2.9083876980003001</v>
      </c>
      <c r="V94" s="3">
        <v>0.69276049593463496</v>
      </c>
    </row>
    <row r="95" spans="2:22" x14ac:dyDescent="0.25">
      <c r="B95" s="4">
        <v>2.2922291170107201</v>
      </c>
      <c r="C95" s="4">
        <v>0.39126410199969502</v>
      </c>
      <c r="D95" s="4">
        <v>0.109751798998331</v>
      </c>
      <c r="E95" s="3">
        <v>2.08792014200298</v>
      </c>
      <c r="F95" s="4">
        <v>1.8714427950035299</v>
      </c>
      <c r="G95" s="3">
        <v>271.62033631300397</v>
      </c>
      <c r="H95" s="4">
        <v>0.221378328002174</v>
      </c>
      <c r="I95" s="4">
        <v>24.913647140841899</v>
      </c>
      <c r="J95" s="4">
        <v>10.515882601961501</v>
      </c>
      <c r="K95" s="3">
        <v>515.82863820297598</v>
      </c>
      <c r="L95" s="5">
        <v>10.096739876083999</v>
      </c>
      <c r="M95" s="4">
        <v>2.8873475498985499</v>
      </c>
      <c r="N95" s="3">
        <v>0.26527145714499101</v>
      </c>
      <c r="P95" s="5">
        <v>16.271679567871601</v>
      </c>
      <c r="Q95" s="4">
        <v>2.7253138720989201</v>
      </c>
      <c r="R95" s="3">
        <v>0.30183666385710201</v>
      </c>
      <c r="T95" s="5">
        <v>21.921604159055299</v>
      </c>
      <c r="U95" s="4">
        <v>2.8522914249915599</v>
      </c>
      <c r="V95" s="3">
        <v>0.67883626092225302</v>
      </c>
    </row>
    <row r="96" spans="2:22" x14ac:dyDescent="0.25">
      <c r="B96" s="4">
        <v>2.0108498999907098</v>
      </c>
      <c r="C96" s="4">
        <v>0.38263826600450501</v>
      </c>
      <c r="D96" s="4">
        <v>0.108160696006962</v>
      </c>
      <c r="E96" s="3">
        <v>2.1613077329966401</v>
      </c>
      <c r="F96" s="4">
        <v>1.9775797430047499</v>
      </c>
      <c r="G96" s="3">
        <v>272.490425832016</v>
      </c>
      <c r="H96" s="4">
        <v>0.22731754399137499</v>
      </c>
      <c r="I96" s="4">
        <v>24.847381460946099</v>
      </c>
      <c r="J96" s="4">
        <v>10.823305523023</v>
      </c>
      <c r="K96" s="3">
        <v>515.46395164402202</v>
      </c>
      <c r="L96" s="5">
        <v>14.477587544126401</v>
      </c>
      <c r="M96" s="4">
        <v>3.3636057600378999</v>
      </c>
      <c r="N96" s="3">
        <v>0.26159487292170502</v>
      </c>
      <c r="P96" s="5">
        <v>16.5593208239879</v>
      </c>
      <c r="Q96" s="4">
        <v>2.7755113430321199</v>
      </c>
      <c r="R96" s="3">
        <v>0.302685563918203</v>
      </c>
      <c r="T96" s="5">
        <v>22.624091421021198</v>
      </c>
      <c r="U96" s="4">
        <v>3.0809358339756701</v>
      </c>
      <c r="V96" s="3">
        <v>0.68368384800851401</v>
      </c>
    </row>
    <row r="97" spans="2:22" x14ac:dyDescent="0.25">
      <c r="B97" s="4">
        <v>4.0124010699946604</v>
      </c>
      <c r="C97" s="4">
        <v>0.391850193002028</v>
      </c>
      <c r="D97" s="4">
        <v>0.10554391000186999</v>
      </c>
      <c r="E97" s="3">
        <v>2.1058703829912702</v>
      </c>
      <c r="F97" s="4">
        <v>1.8395790920039801</v>
      </c>
      <c r="G97" s="3">
        <v>271.87476044098702</v>
      </c>
      <c r="H97" s="4">
        <v>0.22075928999402</v>
      </c>
      <c r="I97" s="4">
        <v>24.954759311862301</v>
      </c>
      <c r="J97" s="4">
        <v>10.857918026857099</v>
      </c>
      <c r="K97" s="3">
        <v>515.35601824708306</v>
      </c>
      <c r="L97" s="5">
        <v>12.1310458527878</v>
      </c>
      <c r="M97" s="4">
        <v>2.4650948590133299</v>
      </c>
      <c r="N97" s="3">
        <v>0.26759784994646901</v>
      </c>
      <c r="P97" s="5">
        <v>17.437924221856498</v>
      </c>
      <c r="Q97" s="4">
        <v>2.6776750250719501</v>
      </c>
      <c r="R97" s="3">
        <v>0.29033169988542801</v>
      </c>
      <c r="T97" s="5">
        <v>21.443074719980402</v>
      </c>
      <c r="U97" s="4">
        <v>2.9636748940683901</v>
      </c>
      <c r="V97" s="3">
        <v>0.67505404702387795</v>
      </c>
    </row>
    <row r="98" spans="2:22" x14ac:dyDescent="0.25">
      <c r="B98" s="4">
        <v>1.5388251120020799</v>
      </c>
      <c r="C98" s="4">
        <v>0.38311732599686299</v>
      </c>
      <c r="D98" s="4">
        <v>0.109420701002818</v>
      </c>
      <c r="E98" s="3">
        <v>2.1268976520077501</v>
      </c>
      <c r="F98" s="4">
        <v>1.94716098999197</v>
      </c>
      <c r="G98" s="3">
        <v>271.24327034101498</v>
      </c>
      <c r="H98" s="4">
        <v>0.225180508001358</v>
      </c>
      <c r="I98" s="4">
        <v>26.331736550666399</v>
      </c>
      <c r="J98" s="4">
        <v>11.0038764816709</v>
      </c>
      <c r="K98" s="3">
        <v>515.76708143018197</v>
      </c>
      <c r="L98" s="5">
        <v>11.0077397990972</v>
      </c>
      <c r="M98" s="4">
        <v>2.5997438628692202</v>
      </c>
      <c r="N98" s="3">
        <v>0.26612471905537</v>
      </c>
      <c r="P98" s="5">
        <v>16.133973880903799</v>
      </c>
      <c r="Q98" s="4">
        <v>2.7492104310076702</v>
      </c>
      <c r="R98" s="3">
        <v>0.29982390487566601</v>
      </c>
      <c r="T98" s="5">
        <v>21.373836450977301</v>
      </c>
      <c r="U98" s="4">
        <v>2.88067789701745</v>
      </c>
      <c r="V98" s="3">
        <v>0.68362899683415901</v>
      </c>
    </row>
    <row r="99" spans="2:22" x14ac:dyDescent="0.25">
      <c r="B99" s="4">
        <v>1.53928979800548</v>
      </c>
      <c r="C99" s="4">
        <v>0.39313492599467198</v>
      </c>
      <c r="D99" s="4">
        <v>0.107967367002856</v>
      </c>
      <c r="E99" s="3">
        <v>2.1463913869956701</v>
      </c>
      <c r="F99" s="4">
        <v>1.8810743960057099</v>
      </c>
      <c r="G99" s="3">
        <v>272.12062596701401</v>
      </c>
      <c r="H99" s="4">
        <v>0.221276492011384</v>
      </c>
      <c r="I99" s="4">
        <v>25.568969470914499</v>
      </c>
      <c r="J99" s="4">
        <v>10.539638279937201</v>
      </c>
      <c r="K99" s="3">
        <v>515.47652697609703</v>
      </c>
      <c r="L99" s="5">
        <v>10.650669886963399</v>
      </c>
      <c r="M99" s="4">
        <v>3.02883835299872</v>
      </c>
      <c r="N99" s="3">
        <v>0.27059036097489297</v>
      </c>
      <c r="P99" s="5">
        <v>16.041245627915501</v>
      </c>
      <c r="Q99" s="4">
        <v>2.6912685588467902</v>
      </c>
      <c r="R99" s="3">
        <v>0.29735269793309299</v>
      </c>
      <c r="T99" s="5">
        <v>20.7144718240015</v>
      </c>
      <c r="U99" s="4">
        <v>2.9485510990489301</v>
      </c>
      <c r="V99" s="3">
        <v>0.68377096508629598</v>
      </c>
    </row>
    <row r="100" spans="2:22" x14ac:dyDescent="0.25">
      <c r="B100" s="4">
        <v>1.5047619149991001</v>
      </c>
      <c r="C100" s="4">
        <v>0.39726532400527498</v>
      </c>
      <c r="D100" s="4">
        <v>0.109491882001748</v>
      </c>
      <c r="E100" s="3">
        <v>2.1202079119975599</v>
      </c>
      <c r="F100" s="4">
        <v>1.81114320798951</v>
      </c>
      <c r="G100" s="3">
        <v>272.10958409999103</v>
      </c>
      <c r="H100" s="4">
        <v>0.224965145011083</v>
      </c>
      <c r="I100" s="4">
        <v>25.1931370827369</v>
      </c>
      <c r="J100" s="4">
        <v>10.674246724694999</v>
      </c>
      <c r="K100" s="3">
        <v>516.07913769129698</v>
      </c>
      <c r="L100" s="5">
        <v>9.8301081769168395</v>
      </c>
      <c r="M100" s="4">
        <v>3.6339956370648001</v>
      </c>
      <c r="N100" s="3">
        <v>0.24592093098908699</v>
      </c>
      <c r="P100" s="5">
        <v>16.3412254850846</v>
      </c>
      <c r="Q100" s="4">
        <v>2.7098788900766499</v>
      </c>
      <c r="R100" s="3">
        <v>0.30109785194508698</v>
      </c>
      <c r="T100" s="5">
        <v>21.722846115008</v>
      </c>
      <c r="U100" s="4">
        <v>2.8875524529721601</v>
      </c>
      <c r="V100" s="3">
        <v>0.70875600492581703</v>
      </c>
    </row>
    <row r="101" spans="2:22" x14ac:dyDescent="0.25">
      <c r="B101" s="4">
        <v>1.5402821430034199</v>
      </c>
      <c r="C101" s="4">
        <v>0.38733833200239998</v>
      </c>
      <c r="D101" s="4">
        <v>0.110275826009456</v>
      </c>
      <c r="E101" s="3">
        <v>2.1456419989990501</v>
      </c>
      <c r="F101" s="4">
        <v>1.8239438250020601</v>
      </c>
      <c r="G101" s="3">
        <v>272.35540665197101</v>
      </c>
      <c r="H101" s="4">
        <v>0.22352583700558101</v>
      </c>
      <c r="I101" s="4">
        <v>24.849097789730902</v>
      </c>
      <c r="J101" s="4">
        <v>11.246254557743701</v>
      </c>
      <c r="K101" s="3">
        <v>516.65007602097501</v>
      </c>
      <c r="L101" s="5">
        <v>10.9177206289023</v>
      </c>
      <c r="M101" s="4">
        <v>3.24109998717904</v>
      </c>
      <c r="N101" s="3">
        <v>0.255153429927304</v>
      </c>
      <c r="P101" s="5">
        <v>15.9014069950208</v>
      </c>
      <c r="Q101" s="4">
        <v>2.77746144519188</v>
      </c>
      <c r="R101" s="3">
        <v>0.29706703103147403</v>
      </c>
      <c r="T101" s="5">
        <v>20.531515534967198</v>
      </c>
      <c r="U101" s="4">
        <v>2.93792761210352</v>
      </c>
      <c r="V101" s="3">
        <v>0.67530895699746896</v>
      </c>
    </row>
    <row r="102" spans="2:22" x14ac:dyDescent="0.25">
      <c r="B102" s="4">
        <v>1.5307247960008601</v>
      </c>
      <c r="C102" s="4">
        <v>0.38830869400408102</v>
      </c>
      <c r="D102" s="4">
        <v>0.112418038988835</v>
      </c>
      <c r="E102" s="3">
        <v>2.1241429989895502</v>
      </c>
      <c r="F102" s="4">
        <v>1.87293060700176</v>
      </c>
      <c r="G102" s="3">
        <v>271.77985567398702</v>
      </c>
      <c r="H102" s="4">
        <v>0.227723100993898</v>
      </c>
      <c r="I102" s="4">
        <v>26.7917878609151</v>
      </c>
      <c r="J102" s="4">
        <v>10.6067780777812</v>
      </c>
      <c r="K102" s="3">
        <v>516.26614667195804</v>
      </c>
      <c r="L102" s="5">
        <v>10.0760508261155</v>
      </c>
      <c r="M102" s="4">
        <v>3.2347355710808201</v>
      </c>
      <c r="N102" s="3">
        <v>0.26157859899103603</v>
      </c>
      <c r="P102" s="5">
        <v>16.431730079930301</v>
      </c>
      <c r="Q102" s="4">
        <v>2.7133187169674802</v>
      </c>
      <c r="R102" s="3">
        <v>0.29921177402138699</v>
      </c>
      <c r="T102" s="5">
        <v>21.236542842118102</v>
      </c>
      <c r="U102" s="4">
        <v>3.1389821828343001</v>
      </c>
      <c r="V102" s="3">
        <v>0.70598308695480205</v>
      </c>
    </row>
    <row r="103" spans="2:22" x14ac:dyDescent="0.25">
      <c r="B103" s="4">
        <v>2.2926808290067102</v>
      </c>
      <c r="C103" s="4">
        <v>0.38512251799693298</v>
      </c>
      <c r="D103" s="4">
        <v>0.106642742990516</v>
      </c>
      <c r="E103" s="3">
        <v>2.1173737220087698</v>
      </c>
      <c r="F103" s="4">
        <v>2.0509442830079898</v>
      </c>
      <c r="G103" s="3">
        <v>272.02623271400802</v>
      </c>
      <c r="H103" s="4">
        <v>0.22537417500279799</v>
      </c>
      <c r="I103" s="4">
        <v>25.5672586150467</v>
      </c>
      <c r="J103" s="4">
        <v>10.587869125884</v>
      </c>
      <c r="K103" s="3">
        <v>515.070427237079</v>
      </c>
      <c r="L103" s="5">
        <v>10.796276951907201</v>
      </c>
      <c r="M103" s="4">
        <v>2.6532516728620998</v>
      </c>
      <c r="N103" s="3">
        <v>0.27443716302514098</v>
      </c>
      <c r="P103" s="5">
        <v>16.371011797105901</v>
      </c>
      <c r="Q103" s="4">
        <v>2.7585431491024801</v>
      </c>
      <c r="R103" s="3">
        <v>0.303792763967067</v>
      </c>
      <c r="T103" s="5">
        <v>20.225990099133899</v>
      </c>
      <c r="U103" s="4">
        <v>2.9180763098411302</v>
      </c>
      <c r="V103" s="3">
        <v>0.69365079095587101</v>
      </c>
    </row>
    <row r="104" spans="2:22" x14ac:dyDescent="0.25">
      <c r="B104" s="4">
        <v>1.53376797799137</v>
      </c>
      <c r="C104" s="4">
        <v>0.39019460199051498</v>
      </c>
      <c r="D104" s="4">
        <v>0.11044829699676401</v>
      </c>
      <c r="E104" s="3">
        <v>2.0579438089916899</v>
      </c>
      <c r="F104" s="4">
        <v>2.0453713210008502</v>
      </c>
      <c r="G104" s="3">
        <v>271.16497307200899</v>
      </c>
      <c r="H104" s="4">
        <v>0.23889605500153199</v>
      </c>
      <c r="I104" s="4">
        <v>25.8493393170647</v>
      </c>
      <c r="J104" s="4">
        <v>10.964285512920499</v>
      </c>
      <c r="K104" s="3">
        <v>515.65217713778804</v>
      </c>
      <c r="L104" s="5">
        <v>9.4581509160343593</v>
      </c>
      <c r="M104" s="4">
        <v>3.0815774269867702</v>
      </c>
      <c r="N104" s="3">
        <v>0.299212920013815</v>
      </c>
      <c r="P104" s="5">
        <v>16.3674144109245</v>
      </c>
      <c r="Q104" s="4">
        <v>2.7049600859172598</v>
      </c>
      <c r="R104" s="3">
        <v>0.29691108688712098</v>
      </c>
      <c r="T104" s="5">
        <v>20.713269383180901</v>
      </c>
      <c r="U104" s="4">
        <v>3.0337369469925801</v>
      </c>
      <c r="V104" s="3">
        <v>0.69252002588473305</v>
      </c>
    </row>
    <row r="105" spans="2:22" x14ac:dyDescent="0.25">
      <c r="B105" s="4">
        <v>4.0700468290015097</v>
      </c>
      <c r="C105" s="4">
        <v>0.38676457099791101</v>
      </c>
      <c r="D105" s="4">
        <v>0.107619734000763</v>
      </c>
      <c r="E105" s="3">
        <v>2.1340250920038599</v>
      </c>
      <c r="F105" s="4">
        <v>1.9262010779930201</v>
      </c>
      <c r="G105" s="3">
        <v>272.87525448200103</v>
      </c>
      <c r="H105" s="4">
        <v>0.22261253299075101</v>
      </c>
      <c r="I105" s="4">
        <v>24.8431159108877</v>
      </c>
      <c r="J105" s="4">
        <v>10.9553060960025</v>
      </c>
      <c r="K105" s="3">
        <v>515.51523688202701</v>
      </c>
      <c r="L105" s="5">
        <v>12.348003224004101</v>
      </c>
      <c r="M105" s="4">
        <v>3.7743658351246299</v>
      </c>
      <c r="N105" s="3">
        <v>0.26749598491005599</v>
      </c>
      <c r="P105" s="5">
        <v>16.594547386048401</v>
      </c>
      <c r="Q105" s="4">
        <v>2.59947208408266</v>
      </c>
      <c r="R105" s="3">
        <v>0.29447623295709502</v>
      </c>
      <c r="T105" s="5">
        <v>20.624572358094198</v>
      </c>
      <c r="U105" s="4">
        <v>3.0907782139256601</v>
      </c>
      <c r="V105" s="3">
        <v>0.69081464712508001</v>
      </c>
    </row>
    <row r="106" spans="2:22" x14ac:dyDescent="0.25">
      <c r="B106" s="4">
        <v>1.5279124530061301</v>
      </c>
      <c r="C106" s="4">
        <v>0.38121073400543498</v>
      </c>
      <c r="D106" s="4">
        <v>0.10999444300250601</v>
      </c>
      <c r="E106" s="3">
        <v>2.0738571999972901</v>
      </c>
      <c r="F106" s="4">
        <v>1.8315422690066001</v>
      </c>
      <c r="G106" s="3">
        <v>272.64477533200898</v>
      </c>
      <c r="H106" s="4">
        <v>0.22333314699062601</v>
      </c>
      <c r="I106" s="4">
        <v>25.003339102957401</v>
      </c>
      <c r="J106" s="4">
        <v>11.2486936659552</v>
      </c>
      <c r="K106" s="3">
        <v>515.68119298806403</v>
      </c>
      <c r="L106" s="5">
        <v>10.726475500036001</v>
      </c>
      <c r="M106" s="4">
        <v>3.5212490598205499</v>
      </c>
      <c r="N106" s="3">
        <v>0.29289732407778502</v>
      </c>
      <c r="P106" s="5">
        <v>16.732387900119601</v>
      </c>
      <c r="Q106" s="4">
        <v>2.76669826498255</v>
      </c>
      <c r="R106" s="3">
        <v>0.299801184097305</v>
      </c>
      <c r="T106" s="5">
        <v>21.133972520939999</v>
      </c>
      <c r="U106" s="4">
        <v>2.89135670498945</v>
      </c>
      <c r="V106" s="3">
        <v>0.68886036495678105</v>
      </c>
    </row>
    <row r="107" spans="2:22" x14ac:dyDescent="0.25">
      <c r="B107" s="4">
        <v>2.5433190160110799</v>
      </c>
      <c r="C107" s="4">
        <v>0.38774593999551099</v>
      </c>
      <c r="D107" s="4">
        <v>0.10929989100259201</v>
      </c>
      <c r="E107" s="3">
        <v>2.1318071009882198</v>
      </c>
      <c r="F107" s="4">
        <v>1.8592013510060399</v>
      </c>
      <c r="G107" s="3">
        <v>272.48022473901102</v>
      </c>
      <c r="H107" s="4">
        <v>0.22437301400350401</v>
      </c>
      <c r="I107" s="4">
        <v>25.1125744641759</v>
      </c>
      <c r="J107" s="4">
        <v>10.892843668814701</v>
      </c>
      <c r="K107" s="3">
        <v>515.37003175914299</v>
      </c>
      <c r="L107" s="5">
        <v>11.4572822570335</v>
      </c>
      <c r="M107" s="4">
        <v>2.8246749150566801</v>
      </c>
      <c r="N107" s="3">
        <v>0.268636519089341</v>
      </c>
      <c r="P107" s="5">
        <v>15.6892707019579</v>
      </c>
      <c r="Q107" s="4">
        <v>2.8360029410105199</v>
      </c>
      <c r="R107" s="3">
        <v>0.28732577199116399</v>
      </c>
      <c r="T107" s="5">
        <v>20.807891749078401</v>
      </c>
      <c r="U107" s="4">
        <v>2.81635883706622</v>
      </c>
      <c r="V107" s="3">
        <v>0.67973435204476096</v>
      </c>
    </row>
  </sheetData>
  <mergeCells count="3">
    <mergeCell ref="L1:O1"/>
    <mergeCell ref="P1:S1"/>
    <mergeCell ref="T1:W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safesec_data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2024-05-16T09:46:38Z</dcterms:created>
  <dcterms:modified xsi:type="dcterms:W3CDTF">2025-12-02T12:25:47Z</dcterms:modified>
</cp:coreProperties>
</file>